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Event_Tape" sheetId="2" state="visible" r:id="rId4"/>
    <sheet name="Field_Dictionary" sheetId="3" state="visible" r:id="rId5"/>
    <sheet name="Lists" sheetId="4" state="visible" r:id="rId6"/>
    <sheet name="Baseline_Spec" sheetId="5" state="visible" r:id="rId7"/>
    <sheet name="Source_Log" sheetId="6" state="visible" r:id="rId8"/>
    <sheet name="README" sheetId="7" state="visible" r:id="rId9"/>
    <sheet name="Sampling_Frame" sheetId="8" state="visible" r:id="rId10"/>
    <sheet name="Changelog" sheetId="9" state="visible" r:id="rId11"/>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<sst xmlns="http://schemas.openxmlformats.org/spreadsheetml/2006/main" count="1050" uniqueCount="628">
  <si>
    <t xml:space="preserve">Policy Holding Sale Event Tape v0.4</t>
  </si>
  <si>
    <t xml:space="preserve">Built / revised</t>
  </si>
  <si>
    <t xml:space="preserve">Total rows</t>
  </si>
  <si>
    <t xml:space="preserve">Tier1 confirmed</t>
  </si>
  <si>
    <t xml:space="preserve">Tier2 candidates</t>
  </si>
  <si>
    <t xml:space="preserve">ABM candidates</t>
  </si>
  <si>
    <t xml:space="preserve">Rows needing price/liquidity data</t>
  </si>
  <si>
    <t xml:space="preserve">CAR/ADV/free_float/market cap columns remain blank by design</t>
  </si>
  <si>
    <t xml:space="preserve">Status: candidate</t>
  </si>
  <si>
    <t xml:space="preserve">Route</t>
  </si>
  <si>
    <t xml:space="preserve">Count</t>
  </si>
  <si>
    <t xml:space="preserve">secondary_offering</t>
  </si>
  <si>
    <t xml:space="preserve">toSTNeT_3</t>
  </si>
  <si>
    <t xml:space="preserve">share_forward</t>
  </si>
  <si>
    <t xml:space="preserve">block_trade</t>
  </si>
  <si>
    <t xml:space="preserve">open_market_sale</t>
  </si>
  <si>
    <t xml:space="preserve">market_sale_undetermined</t>
  </si>
  <si>
    <t xml:space="preserve">mixed</t>
  </si>
  <si>
    <t xml:space="preserve">unknown</t>
  </si>
  <si>
    <t xml:space="preserve">blank</t>
  </si>
  <si>
    <t xml:space="preserve">Next actions</t>
  </si>
  <si>
    <t xml:space="preserve">1</t>
  </si>
  <si>
    <t xml:space="preserve">一次PDFの取得・保存。Source_LogのAisin URL異常とYahoo CDN直リンクを優先確認</t>
  </si>
  <si>
    <t xml:space="preserve">2</t>
  </si>
  <si>
    <r>
      <rPr>
        <sz val="11"/>
        <rFont val="Calibri"/>
        <family val="0"/>
        <charset val="1"/>
      </rPr>
      <t xml:space="preserve">disclosure_time/after_close</t>
    </r>
    <r>
      <rPr>
        <sz val="11"/>
        <rFont val="Noto Sans CJK SC"/>
        <family val="2"/>
      </rPr>
      <t xml:space="preserve">を</t>
    </r>
    <r>
      <rPr>
        <sz val="11"/>
        <rFont val="Calibri"/>
        <family val="0"/>
        <charset val="1"/>
      </rPr>
      <t xml:space="preserve">TDnet</t>
    </r>
    <r>
      <rPr>
        <sz val="11"/>
        <rFont val="Noto Sans CJK SC"/>
        <family val="2"/>
      </rPr>
      <t xml:space="preserve">で確認し、</t>
    </r>
    <r>
      <rPr>
        <sz val="11"/>
        <rFont val="Calibri"/>
        <family val="0"/>
        <charset val="1"/>
      </rPr>
      <t xml:space="preserve">day0</t>
    </r>
    <r>
      <rPr>
        <sz val="11"/>
        <rFont val="Noto Sans CJK SC"/>
        <family val="2"/>
      </rPr>
      <t xml:space="preserve">規則で</t>
    </r>
    <r>
      <rPr>
        <sz val="11"/>
        <rFont val="Calibri"/>
        <family val="0"/>
        <charset val="1"/>
      </rPr>
      <t xml:space="preserve">CAR</t>
    </r>
    <r>
      <rPr>
        <sz val="11"/>
        <rFont val="Noto Sans CJK SC"/>
        <family val="2"/>
      </rPr>
      <t xml:space="preserve">の基準日を確定</t>
    </r>
  </si>
  <si>
    <t xml:space="preserve">3</t>
  </si>
  <si>
    <t xml:space="preserve">価格系列を取得して announcement/pricing/settlement CAR、drift、recoveryを埋める</t>
  </si>
  <si>
    <t xml:space="preserve">4</t>
  </si>
  <si>
    <r>
      <rPr>
        <sz val="11"/>
        <rFont val="Calibri"/>
        <family val="0"/>
        <charset val="1"/>
      </rPr>
      <t xml:space="preserve">ADV20/ADV60/free_float/market cap </t>
    </r>
    <r>
      <rPr>
        <sz val="11"/>
        <rFont val="Noto Sans CJK SC"/>
        <family val="2"/>
      </rPr>
      <t xml:space="preserve">を取得して </t>
    </r>
    <r>
      <rPr>
        <sz val="11"/>
        <rFont val="Calibri"/>
        <family val="0"/>
        <charset val="1"/>
      </rPr>
      <t xml:space="preserve">size variables </t>
    </r>
    <r>
      <rPr>
        <sz val="11"/>
        <rFont val="Noto Sans CJK SC"/>
        <family val="2"/>
      </rPr>
      <t xml:space="preserve">を計算</t>
    </r>
  </si>
  <si>
    <t xml:space="preserve">5</t>
  </si>
  <si>
    <r>
      <rPr>
        <sz val="11"/>
        <rFont val="Calibri"/>
        <family val="0"/>
        <charset val="1"/>
      </rPr>
      <t xml:space="preserve">Tier1 A/B</t>
    </r>
    <r>
      <rPr>
        <sz val="11"/>
        <rFont val="Noto Sans CJK SC"/>
        <family val="2"/>
      </rPr>
      <t xml:space="preserve">で </t>
    </r>
    <r>
      <rPr>
        <sz val="11"/>
        <rFont val="Calibri"/>
        <family val="0"/>
        <charset val="1"/>
      </rPr>
      <t xml:space="preserve">size/ADV → square-root → route/support FE → route choice </t>
    </r>
    <r>
      <rPr>
        <sz val="11"/>
        <rFont val="Noto Sans CJK SC"/>
        <family val="2"/>
      </rPr>
      <t xml:space="preserve">を検証</t>
    </r>
  </si>
  <si>
    <t xml:space="preserve">6</t>
  </si>
  <si>
    <t xml:space="preserve">残差が構造タグに集中する場合のみABM_candidate_flagを維持</t>
  </si>
  <si>
    <t xml:space="preserve">event_group_id</t>
  </si>
  <si>
    <t xml:space="preserve">event_leg_id</t>
  </si>
  <si>
    <t xml:space="preserve">status</t>
  </si>
  <si>
    <t xml:space="preserve">issuer_code</t>
  </si>
  <si>
    <t xml:space="preserve">issuer_name</t>
  </si>
  <si>
    <t xml:space="preserve">issuer_market</t>
  </si>
  <si>
    <t xml:space="preserve">seller_name</t>
  </si>
  <si>
    <t xml:space="preserve">seller_type</t>
  </si>
  <si>
    <t xml:space="preserve">relationship</t>
  </si>
  <si>
    <t xml:space="preserve">event_tier</t>
  </si>
  <si>
    <t xml:space="preserve">event_role</t>
  </si>
  <si>
    <t xml:space="preserve">sale_route</t>
  </si>
  <si>
    <t xml:space="preserve">absorption_route</t>
  </si>
  <si>
    <t xml:space="preserve">support_buyback</t>
  </si>
  <si>
    <t xml:space="preserve">support_OA</t>
  </si>
  <si>
    <t xml:space="preserve">support_lockup</t>
  </si>
  <si>
    <t xml:space="preserve">support_stabilization</t>
  </si>
  <si>
    <t xml:space="preserve">disclosure_time</t>
  </si>
  <si>
    <t xml:space="preserve">after_close</t>
  </si>
  <si>
    <t xml:space="preserve">announce_datetime</t>
  </si>
  <si>
    <t xml:space="preserve">pricing_date</t>
  </si>
  <si>
    <t xml:space="preserve">settlement_date</t>
  </si>
  <si>
    <t xml:space="preserve">trade_date</t>
  </si>
  <si>
    <t xml:space="preserve">quantity_basis</t>
  </si>
  <si>
    <t xml:space="preserve">value_basis</t>
  </si>
  <si>
    <t xml:space="preserve">initial_offer_shares</t>
  </si>
  <si>
    <t xml:space="preserve">final_offer_shares</t>
  </si>
  <si>
    <t xml:space="preserve">OA_shares_max</t>
  </si>
  <si>
    <t xml:space="preserve">OA_exercised_shares</t>
  </si>
  <si>
    <t xml:space="preserve">sold_shares</t>
  </si>
  <si>
    <t xml:space="preserve">sold_value_JPY</t>
  </si>
  <si>
    <t xml:space="preserve">pre_holding_shares</t>
  </si>
  <si>
    <t xml:space="preserve">post_holding_shares</t>
  </si>
  <si>
    <t xml:space="preserve">ADV20_shares</t>
  </si>
  <si>
    <t xml:space="preserve">ADV60_shares</t>
  </si>
  <si>
    <t xml:space="preserve">free_float_shares</t>
  </si>
  <si>
    <t xml:space="preserve">market_cap_JPY</t>
  </si>
  <si>
    <t xml:space="preserve">size_ADV20_calc</t>
  </si>
  <si>
    <t xml:space="preserve">size_ADV60_calc</t>
  </si>
  <si>
    <t xml:space="preserve">size_free_float_calc</t>
  </si>
  <si>
    <t xml:space="preserve">size_market_cap_calc</t>
  </si>
  <si>
    <t xml:space="preserve">offer_price_JPY</t>
  </si>
  <si>
    <t xml:space="preserve">previous_close_JPY</t>
  </si>
  <si>
    <t xml:space="preserve">discount_calc</t>
  </si>
  <si>
    <t xml:space="preserve">buyback_size_shares</t>
  </si>
  <si>
    <t xml:space="preserve">buyback_value_JPY</t>
  </si>
  <si>
    <t xml:space="preserve">buyback_method</t>
  </si>
  <si>
    <t xml:space="preserve">buyback_window</t>
  </si>
  <si>
    <t xml:space="preserve">buyback_cancellation</t>
  </si>
  <si>
    <t xml:space="preserve">lockup_days</t>
  </si>
  <si>
    <t xml:space="preserve">lead_underwriter</t>
  </si>
  <si>
    <t xml:space="preserve">seller_breakdown</t>
  </si>
  <si>
    <t xml:space="preserve">activist_pressure</t>
  </si>
  <si>
    <t xml:space="preserve">announcement_CAR_m1_p1</t>
  </si>
  <si>
    <t xml:space="preserve">announcement_CAR_0_p1</t>
  </si>
  <si>
    <t xml:space="preserve">pricing_CAR_m1_p1</t>
  </si>
  <si>
    <t xml:space="preserve">settlement_CAR_m1_p1</t>
  </si>
  <si>
    <t xml:space="preserve">drift_ann_to_pricing</t>
  </si>
  <si>
    <t xml:space="preserve">recovery_5d</t>
  </si>
  <si>
    <t xml:space="preserve">recovery_20d</t>
  </si>
  <si>
    <t xml:space="preserve">recovery_60d</t>
  </si>
  <si>
    <t xml:space="preserve">abnormal_volume_0_p3</t>
  </si>
  <si>
    <t xml:space="preserve">route_notes</t>
  </si>
  <si>
    <t xml:space="preserve">mechanism_hypothesis</t>
  </si>
  <si>
    <t xml:space="preserve">ABM_candidate_flag</t>
  </si>
  <si>
    <t xml:space="preserve">confidence_policy_holding</t>
  </si>
  <si>
    <t xml:space="preserve">source_primary_url</t>
  </si>
  <si>
    <t xml:space="preserve">source_secondary_url</t>
  </si>
  <si>
    <t xml:space="preserve">notes</t>
  </si>
  <si>
    <t xml:space="preserve">G001</t>
  </si>
  <si>
    <t xml:space="preserve">L001</t>
  </si>
  <si>
    <t xml:space="preserve">seeded</t>
  </si>
  <si>
    <t xml:space="preserve">DENSO</t>
  </si>
  <si>
    <t xml:space="preserve">TSE Prime</t>
  </si>
  <si>
    <t xml:space="preserve">Toyota Industries; Toyota Motor; Aisin (per secondary distribution disclosures)</t>
  </si>
  <si>
    <t xml:space="preserve">parent_or_affiliate</t>
  </si>
  <si>
    <t xml:space="preserve">Toyota Group cross-shareholding</t>
  </si>
  <si>
    <t xml:space="preserve">Tier1_confirmed</t>
  </si>
  <si>
    <t xml:space="preserve">announcement</t>
  </si>
  <si>
    <t xml:space="preserve">public_offering</t>
  </si>
  <si>
    <t xml:space="preserve">TRUE</t>
  </si>
  <si>
    <t xml:space="preserve">DENSO secondary distribution; Toyota Industries explicitly announced participation as seller.</t>
  </si>
  <si>
    <t xml:space="preserve">Cross-shareholding unwind via underwritten secondary; useful as 2023 precedent.</t>
  </si>
  <si>
    <t xml:space="preserve">No</t>
  </si>
  <si>
    <t xml:space="preserve">B_strong_inference</t>
  </si>
  <si>
    <t xml:space="preserve">https://www.toyota-industries.com/news/2023/11/29/008606/index.html</t>
  </si>
  <si>
    <t xml:space="preserve">Need DENSO primary PDF for full seller breakdown and pricing dates.</t>
  </si>
  <si>
    <t xml:space="preserve">G002</t>
  </si>
  <si>
    <t xml:space="preserve">Toyota Industries</t>
  </si>
  <si>
    <t xml:space="preserve">TSE Prime / NSE Premier</t>
  </si>
  <si>
    <t xml:space="preserve">DENSO Corporation</t>
  </si>
  <si>
    <t xml:space="preserve">counterparty_bank_forward</t>
  </si>
  <si>
    <t xml:space="preserve">FALSE</t>
  </si>
  <si>
    <t xml:space="preserve">announced_total</t>
  </si>
  <si>
    <t xml:space="preserve">spot sale + share forward agreement</t>
  </si>
  <si>
    <t xml:space="preserve">Mar/Jun/Sep/Dec 26 settlements, Jun 2024-Jun 2026</t>
  </si>
  <si>
    <t xml:space="preserve">2,965,595 shares spot sale; 26,682,300 shares forward in 9 quarterly settlements.</t>
  </si>
  <si>
    <t xml:space="preserve">Designed explicitly to limit market impact of simultaneous large share release.</t>
  </si>
  <si>
    <t xml:space="preserve">Yes</t>
  </si>
  <si>
    <t xml:space="preserve">A_explicit_policy_holding</t>
  </si>
  <si>
    <t xml:space="preserve">https://www.nse.or.jp/listing/search/files/140120240328562091.pdf</t>
  </si>
  <si>
    <t xml:space="preserve">Not a standard secondary offering; useful for route-choice/tail-impact comparison.</t>
  </si>
  <si>
    <t xml:space="preserve">G003</t>
  </si>
  <si>
    <t xml:space="preserve">Aisin</t>
  </si>
  <si>
    <t xml:space="preserve">DENSO; Toyota Industries; Toyota Motor</t>
  </si>
  <si>
    <t xml:space="preserve">market repurchase program</t>
  </si>
  <si>
    <t xml:space="preserve">announced same day, max ¥100bn / 17m shares</t>
  </si>
  <si>
    <t xml:space="preserve">Secondary offering by underwriters; OA max 5,079,300 shares. Company also announced buyback/cancellation.</t>
  </si>
  <si>
    <t xml:space="preserve">Classic secondary + buyback support; compare announcement/pricing/recovery.</t>
  </si>
  <si>
    <t xml:space="preserve">https://www.aisin.com/en/news/uploads/2027062701en.pdf</t>
  </si>
  <si>
    <t xml:space="preserve">https://www.reuters.com/business/autos-transportation/toyota-group-companies-offload-some-1-bln-aisin-shares-2024-06-27/</t>
  </si>
  <si>
    <r>
      <rPr>
        <sz val="11"/>
        <rFont val="Calibri"/>
        <family val="0"/>
        <charset val="1"/>
      </rPr>
      <t xml:space="preserve">Aisin PDF URL path contains 2027062701en.pdf but document date is 2024-06-27. / Source_Log</t>
    </r>
    <r>
      <rPr>
        <sz val="11"/>
        <rFont val="Noto Sans CJK SC"/>
        <family val="2"/>
      </rPr>
      <t xml:space="preserve">上も</t>
    </r>
    <r>
      <rPr>
        <sz val="11"/>
        <rFont val="Calibri"/>
        <family val="0"/>
        <charset val="1"/>
      </rPr>
      <t xml:space="preserve">Aisin</t>
    </r>
    <r>
      <rPr>
        <sz val="11"/>
        <rFont val="Noto Sans CJK SC"/>
        <family val="2"/>
      </rPr>
      <t xml:space="preserve">一次</t>
    </r>
    <r>
      <rPr>
        <sz val="11"/>
        <rFont val="Calibri"/>
        <family val="0"/>
        <charset val="1"/>
      </rPr>
      <t xml:space="preserve">PDF URL</t>
    </r>
    <r>
      <rPr>
        <sz val="11"/>
        <rFont val="Noto Sans CJK SC"/>
        <family val="2"/>
      </rPr>
      <t xml:space="preserve">のパス異常</t>
    </r>
    <r>
      <rPr>
        <sz val="11"/>
        <rFont val="Calibri"/>
        <family val="0"/>
        <charset val="1"/>
      </rPr>
      <t xml:space="preserve">(2027</t>
    </r>
    <r>
      <rPr>
        <sz val="11"/>
        <rFont val="Noto Sans CJK SC"/>
        <family val="2"/>
      </rPr>
      <t xml:space="preserve">を含む</t>
    </r>
    <r>
      <rPr>
        <sz val="11"/>
        <rFont val="Calibri"/>
        <family val="0"/>
        <charset val="1"/>
      </rPr>
      <t xml:space="preserve">)</t>
    </r>
    <r>
      <rPr>
        <sz val="11"/>
        <rFont val="Noto Sans CJK SC"/>
        <family val="2"/>
      </rPr>
      <t xml:space="preserve">を記録。一次</t>
    </r>
    <r>
      <rPr>
        <sz val="11"/>
        <rFont val="Calibri"/>
        <family val="0"/>
        <charset val="1"/>
      </rPr>
      <t xml:space="preserve">PDF</t>
    </r>
    <r>
      <rPr>
        <sz val="11"/>
        <rFont val="Noto Sans CJK SC"/>
        <family val="2"/>
      </rPr>
      <t xml:space="preserve">保存必須。</t>
    </r>
  </si>
  <si>
    <t xml:space="preserve">G004</t>
  </si>
  <si>
    <t xml:space="preserve">Honda Motor</t>
  </si>
  <si>
    <t xml:space="preserve">Tokio Marine &amp; Nichido; Sompo Japan; MS&amp;AD units; MUFG Trust; Mizuho Trust; MUFG Bank; Saitama Resona; Mizuho Bank; Nomura Trust</t>
  </si>
  <si>
    <t xml:space="preserve">mixed_financials</t>
  </si>
  <si>
    <t xml:space="preserve">insurance/bank policy holdings</t>
  </si>
  <si>
    <t xml:space="preserve">estimate_close_price</t>
  </si>
  <si>
    <t xml:space="preserve">market buyback / ToSTNeT-3 possible, paused during offering window</t>
  </si>
  <si>
    <t xml:space="preserve">2024-05-13 to 2025-03-31</t>
  </si>
  <si>
    <t xml:space="preserve">Large insurer/bank unwinding; existing ¥300bn buyback authorization but buyback suspended from 2024-07-05 to delivery date.</t>
  </si>
  <si>
    <t xml:space="preserve">Tests support-vs-paused buyback, financial-seller overhang, and syndicate stabilization.</t>
  </si>
  <si>
    <t xml:space="preserve">https://global.honda/content/dam/site/global-jp/news-new/cq_img/2024/07/c240704/c240704.pdf</t>
  </si>
  <si>
    <t xml:space="preserve">https://www.reuters.com/business/autos-transportation/japanese-insurers-banks-sell-honda-shares-worth-33-bln-filing-shows-2024-07-04/</t>
  </si>
  <si>
    <r>
      <rPr>
        <sz val="11"/>
        <rFont val="Calibri"/>
        <family val="0"/>
        <charset val="1"/>
      </rPr>
      <t xml:space="preserve">Reuters value estimate based on shares and close price; confirm final offer price separately. / sold_value_JPY</t>
    </r>
    <r>
      <rPr>
        <sz val="11"/>
        <rFont val="Noto Sans CJK SC"/>
        <family val="2"/>
      </rPr>
      <t xml:space="preserve">は</t>
    </r>
    <r>
      <rPr>
        <sz val="11"/>
        <rFont val="Calibri"/>
        <family val="0"/>
        <charset val="1"/>
      </rPr>
      <t xml:space="preserve">Reuters</t>
    </r>
    <r>
      <rPr>
        <sz val="11"/>
        <rFont val="Noto Sans CJK SC"/>
        <family val="2"/>
      </rPr>
      <t xml:space="preserve">推定値のため</t>
    </r>
    <r>
      <rPr>
        <sz val="11"/>
        <rFont val="Calibri"/>
        <family val="0"/>
        <charset val="1"/>
      </rPr>
      <t xml:space="preserve">value_basis=estimate_close_price</t>
    </r>
    <r>
      <rPr>
        <sz val="11"/>
        <rFont val="Noto Sans CJK SC"/>
        <family val="2"/>
      </rPr>
      <t xml:space="preserve">。最終条件・一次</t>
    </r>
    <r>
      <rPr>
        <sz val="11"/>
        <rFont val="Calibri"/>
        <family val="0"/>
        <charset val="1"/>
      </rPr>
      <t xml:space="preserve">PDF</t>
    </r>
    <r>
      <rPr>
        <sz val="11"/>
        <rFont val="Noto Sans CJK SC"/>
        <family val="2"/>
      </rPr>
      <t xml:space="preserve">で要更新。</t>
    </r>
  </si>
  <si>
    <t xml:space="preserve">G005</t>
  </si>
  <si>
    <t xml:space="preserve">Kaga Electronics</t>
  </si>
  <si>
    <t xml:space="preserve">MUFG Bank; Mizuho Bank; Sumitomo Mitsui Banking; Hokuriku Bank</t>
  </si>
  <si>
    <t xml:space="preserve">bank</t>
  </si>
  <si>
    <t xml:space="preserve">policy shareholders</t>
  </si>
  <si>
    <t xml:space="preserve">buyback_decision</t>
  </si>
  <si>
    <t xml:space="preserve">toSTNeT_3_buyback</t>
  </si>
  <si>
    <t xml:space="preserve">resolution_max</t>
  </si>
  <si>
    <t xml:space="preserve">ToSTNeT-3</t>
  </si>
  <si>
    <t xml:space="preserve">2025-08-08 08:45</t>
  </si>
  <si>
    <t xml:space="preserve">Issuer says banks intend to sell under CG Code policy-holding reduction; company chose ToSTNeT-3 to reduce market impact.</t>
  </si>
  <si>
    <t xml:space="preserve">Pure buyback absorption event; strong case for route vs market-disposal counterfactual.</t>
  </si>
  <si>
    <t xml:space="preserve">https://www.taxan.co.jp/jp/ir/upload_file/tdnrelease/8154_20250807533725_P01_.pdf</t>
  </si>
  <si>
    <r>
      <rPr>
        <sz val="11"/>
        <rFont val="Calibri"/>
        <family val="0"/>
        <charset val="1"/>
      </rPr>
      <t xml:space="preserve">Includes explicit previous close (¥2,938) and max buyback amount. / sold_value_JPY</t>
    </r>
    <r>
      <rPr>
        <sz val="11"/>
        <rFont val="Noto Sans CJK SC"/>
        <family val="2"/>
      </rPr>
      <t xml:space="preserve">は決議上の上限。</t>
    </r>
    <r>
      <rPr>
        <sz val="11"/>
        <rFont val="Calibri"/>
        <family val="0"/>
        <charset val="1"/>
      </rPr>
      <t xml:space="preserve">4,920,000</t>
    </r>
    <r>
      <rPr>
        <sz val="11"/>
        <rFont val="Noto Sans CJK SC"/>
        <family val="2"/>
      </rPr>
      <t xml:space="preserve">株</t>
    </r>
    <r>
      <rPr>
        <sz val="11"/>
        <rFont val="Calibri"/>
        <family val="0"/>
        <charset val="1"/>
      </rPr>
      <t xml:space="preserve">×</t>
    </r>
    <r>
      <rPr>
        <sz val="11"/>
        <rFont val="Noto Sans CJK SC"/>
        <family val="2"/>
      </rPr>
      <t xml:space="preserve">前日終値</t>
    </r>
    <r>
      <rPr>
        <sz val="11"/>
        <rFont val="Calibri"/>
        <family val="0"/>
        <charset val="1"/>
      </rPr>
      <t xml:space="preserve">2,938</t>
    </r>
    <r>
      <rPr>
        <sz val="11"/>
        <rFont val="Noto Sans CJK SC"/>
        <family val="2"/>
      </rPr>
      <t xml:space="preserve">円</t>
    </r>
    <r>
      <rPr>
        <sz val="11"/>
        <rFont val="Calibri"/>
        <family val="0"/>
        <charset val="1"/>
      </rPr>
      <t xml:space="preserve">=</t>
    </r>
    <r>
      <rPr>
        <sz val="11"/>
        <rFont val="Noto Sans CJK SC"/>
        <family val="2"/>
      </rPr>
      <t xml:space="preserve">約</t>
    </r>
    <r>
      <rPr>
        <sz val="11"/>
        <rFont val="Calibri"/>
        <family val="0"/>
        <charset val="1"/>
      </rPr>
      <t xml:space="preserve">144.5</t>
    </r>
    <r>
      <rPr>
        <sz val="11"/>
        <rFont val="Noto Sans CJK SC"/>
        <family val="2"/>
      </rPr>
      <t xml:space="preserve">億円だが、開示上限は</t>
    </r>
    <r>
      <rPr>
        <sz val="11"/>
        <rFont val="Calibri"/>
        <family val="0"/>
        <charset val="1"/>
      </rPr>
      <t xml:space="preserve">150</t>
    </r>
    <r>
      <rPr>
        <sz val="11"/>
        <rFont val="Noto Sans CJK SC"/>
        <family val="2"/>
      </rPr>
      <t xml:space="preserve">億円。実績は取得結果開示の</t>
    </r>
    <r>
      <rPr>
        <sz val="11"/>
        <rFont val="Calibri"/>
        <family val="0"/>
        <charset val="1"/>
      </rPr>
      <t xml:space="preserve">buyback_result leg</t>
    </r>
    <r>
      <rPr>
        <sz val="11"/>
        <rFont val="Noto Sans CJK SC"/>
        <family val="2"/>
      </rPr>
      <t xml:space="preserve">として別途追加予定。</t>
    </r>
  </si>
  <si>
    <t xml:space="preserve">G006</t>
  </si>
  <si>
    <t xml:space="preserve">The Pack</t>
  </si>
  <si>
    <t xml:space="preserve">MUFG Bank; Marubeni; MUFG Trust; Daiwa House Industry; Sumitomo Life; Sompo Japan; Sumitomo Mitsui Trust; Marubeni Forest Links</t>
  </si>
  <si>
    <t xml:space="preserve">major shareholders / likely policy holders</t>
  </si>
  <si>
    <t xml:space="preserve">market buyback including ToSTNeT-3 possible</t>
  </si>
  <si>
    <t xml:space="preserve">2025-02-13 to 2025-12-31; paused during offering delivery window</t>
  </si>
  <si>
    <t xml:space="preserve">Secondary offering with multiple sellers, lockups, OA/greenshoe mechanics, and existing buyback authorization.</t>
  </si>
  <si>
    <t xml:space="preserve">Good B-confidence event for support package and lockup tagging; confirm policy-holding language in seller filings.</t>
  </si>
  <si>
    <t xml:space="preserve">Maybe</t>
  </si>
  <si>
    <t xml:space="preserve">https://www.thepack.co.jp/dcms_media/other/2025.08.29b.pdf</t>
  </si>
  <si>
    <t xml:space="preserve">Need classify whether each seller is policy-holding unwind; first pass B not A.</t>
  </si>
  <si>
    <t xml:space="preserve">G007</t>
  </si>
  <si>
    <t xml:space="preserve">Daikyo Nishikawa</t>
  </si>
  <si>
    <t xml:space="preserve">Nishikawa Rubber Industries</t>
  </si>
  <si>
    <t xml:space="preserve">business_company</t>
  </si>
  <si>
    <t xml:space="preserve">business partner / major shareholder</t>
  </si>
  <si>
    <t xml:space="preserve">ToSTNeT-3 buyback also used by issuer on 2026-01-09</t>
  </si>
  <si>
    <t xml:space="preserve">prior ToSTNeT-3 + offering</t>
  </si>
  <si>
    <t xml:space="preserve">Seller cites plan to sell ¥10bn of policy holdings by FY2028; sale plus prior issuer ToSTNeT-3 changed ownership ratio.</t>
  </si>
  <si>
    <t xml:space="preserve">Nice mixed absorption/offering event; compare ToSTNeT-3 leg and offering leg if detailed issuer docs found.</t>
  </si>
  <si>
    <t xml:space="preserve">https://www.nishikawa-rbr.co.jp/upfile/20260119_3_news.pdf</t>
  </si>
  <si>
    <r>
      <rPr>
        <sz val="11"/>
        <rFont val="Calibri"/>
        <family val="0"/>
        <charset val="1"/>
      </rPr>
      <t xml:space="preserve">Need Daikyo Nishikawa primary offering/pricing PDFs for full issuer-side terms. / </t>
    </r>
    <r>
      <rPr>
        <sz val="11"/>
        <rFont val="Noto Sans CJK SC"/>
        <family val="2"/>
      </rPr>
      <t xml:space="preserve">売出金額</t>
    </r>
    <r>
      <rPr>
        <sz val="11"/>
        <rFont val="Calibri"/>
        <family val="0"/>
        <charset val="1"/>
      </rPr>
      <t xml:space="preserve">2,801,944,000</t>
    </r>
    <r>
      <rPr>
        <sz val="11"/>
        <rFont val="Noto Sans CJK SC"/>
        <family val="2"/>
      </rPr>
      <t xml:space="preserve">円の根拠</t>
    </r>
    <r>
      <rPr>
        <sz val="11"/>
        <rFont val="Calibri"/>
        <family val="0"/>
        <charset val="1"/>
      </rPr>
      <t xml:space="preserve">(</t>
    </r>
    <r>
      <rPr>
        <sz val="11"/>
        <rFont val="Noto Sans CJK SC"/>
        <family val="2"/>
      </rPr>
      <t xml:space="preserve">想定価格ベースか条件決定後か</t>
    </r>
    <r>
      <rPr>
        <sz val="11"/>
        <rFont val="Calibri"/>
        <family val="0"/>
        <charset val="1"/>
      </rPr>
      <t xml:space="preserve">)</t>
    </r>
    <r>
      <rPr>
        <sz val="11"/>
        <rFont val="Noto Sans CJK SC"/>
        <family val="2"/>
      </rPr>
      <t xml:space="preserve">を一次</t>
    </r>
    <r>
      <rPr>
        <sz val="11"/>
        <rFont val="Calibri"/>
        <family val="0"/>
        <charset val="1"/>
      </rPr>
      <t xml:space="preserve">PDF</t>
    </r>
    <r>
      <rPr>
        <sz val="11"/>
        <rFont val="Noto Sans CJK SC"/>
        <family val="2"/>
      </rPr>
      <t xml:space="preserve">で確認</t>
    </r>
  </si>
  <si>
    <t xml:space="preserve">G008</t>
  </si>
  <si>
    <t xml:space="preserve">Nintendo</t>
  </si>
  <si>
    <t xml:space="preserve">Nomura Trust Bank (MUFG Bank retirement benefit trust); Bank of Kyoto; DeNA; Resona Bank</t>
  </si>
  <si>
    <t xml:space="preserve">strategic/policy shareholders</t>
  </si>
  <si>
    <t xml:space="preserve">15:40</t>
  </si>
  <si>
    <t xml:space="preserve">2026-03-03 to 2026-03-04</t>
  </si>
  <si>
    <t xml:space="preserve">野村信託銀行(退職給付信託三菱UFJ銀行口):16,149,900;京都銀行:10,000,000;DeNA:6,000,000;りそな銀行:548,000</t>
  </si>
  <si>
    <r>
      <rPr>
        <sz val="11"/>
        <rFont val="Calibri"/>
        <family val="0"/>
        <charset val="1"/>
      </rPr>
      <t xml:space="preserve">Nintendo offering paired with ToSTNeT-3 buyback authorization; DeNA separately disclosed 6m planned sale. / </t>
    </r>
    <r>
      <rPr>
        <sz val="11"/>
        <rFont val="Noto Sans CJK SC"/>
        <family val="2"/>
      </rPr>
      <t xml:space="preserve">条件決定期間は</t>
    </r>
    <r>
      <rPr>
        <sz val="11"/>
        <rFont val="Calibri"/>
        <family val="0"/>
        <charset val="1"/>
      </rPr>
      <t xml:space="preserve">2026-03-09</t>
    </r>
    <r>
      <rPr>
        <sz val="11"/>
        <rFont val="Noto Sans CJK SC"/>
        <family val="2"/>
      </rPr>
      <t xml:space="preserve">〜</t>
    </r>
    <r>
      <rPr>
        <sz val="11"/>
        <rFont val="Calibri"/>
        <family val="0"/>
        <charset val="1"/>
      </rPr>
      <t xml:space="preserve">2026-03-12</t>
    </r>
    <r>
      <rPr>
        <sz val="11"/>
        <rFont val="Noto Sans CJK SC"/>
        <family val="2"/>
      </rPr>
      <t xml:space="preserve">。自己株取得に伴い買取引受・</t>
    </r>
    <r>
      <rPr>
        <sz val="11"/>
        <rFont val="Calibri"/>
        <family val="0"/>
        <charset val="1"/>
      </rPr>
      <t xml:space="preserve">OA</t>
    </r>
    <r>
      <rPr>
        <sz val="11"/>
        <rFont val="Noto Sans CJK SC"/>
        <family val="2"/>
      </rPr>
      <t xml:space="preserve">の売出株式数が減少し得る。</t>
    </r>
  </si>
  <si>
    <t xml:space="preserve">High-quality route/support event: offering amount can shrink if sellers tender into ToSTNeT-3 buyback.</t>
  </si>
  <si>
    <t xml:space="preserve">https://www.nintendo.co.jp/ir/pdf/2026/260227.pdf</t>
  </si>
  <si>
    <t xml:space="preserve">https://www.nintendo.co.jp/ir/pdf/2026/260227_2.pdf</t>
  </si>
  <si>
    <r>
      <rPr>
        <sz val="11"/>
        <rFont val="Calibri"/>
        <family val="0"/>
        <charset val="1"/>
      </rPr>
      <t xml:space="preserve">Reuters estimates total value about ¥290bn excluding OA; final DeNA buyback tender changed remaining offering shares. / </t>
    </r>
    <r>
      <rPr>
        <sz val="11"/>
        <rFont val="Noto Sans CJK SC"/>
        <family val="2"/>
      </rPr>
      <t xml:space="preserve">開示は</t>
    </r>
    <r>
      <rPr>
        <sz val="11"/>
        <rFont val="Calibri"/>
        <family val="0"/>
        <charset val="1"/>
      </rPr>
      <t xml:space="preserve">2026-02-27 15:40</t>
    </r>
    <r>
      <rPr>
        <sz val="11"/>
        <rFont val="Noto Sans CJK SC"/>
        <family val="2"/>
      </rPr>
      <t xml:space="preserve">、引け後開示のため</t>
    </r>
    <r>
      <rPr>
        <sz val="11"/>
        <rFont val="Calibri"/>
        <family val="0"/>
        <charset val="1"/>
      </rPr>
      <t xml:space="preserve">day 0=2026-03-02</t>
    </r>
    <r>
      <rPr>
        <sz val="11"/>
        <rFont val="Noto Sans CJK SC"/>
        <family val="2"/>
      </rPr>
      <t xml:space="preserve">。</t>
    </r>
    <r>
      <rPr>
        <sz val="11"/>
        <rFont val="Calibri"/>
        <family val="0"/>
        <charset val="1"/>
      </rPr>
      <t xml:space="preserve">DeNA</t>
    </r>
    <r>
      <rPr>
        <sz val="11"/>
        <rFont val="Noto Sans CJK SC"/>
        <family val="2"/>
      </rPr>
      <t xml:space="preserve">売却の背景として旧村上系アクティビストの関与が報じられているため</t>
    </r>
    <r>
      <rPr>
        <sz val="11"/>
        <rFont val="Calibri"/>
        <family val="0"/>
        <charset val="1"/>
      </rPr>
      <t xml:space="preserve">activist_pressure=TRUE</t>
    </r>
    <r>
      <rPr>
        <sz val="11"/>
        <rFont val="Noto Sans CJK SC"/>
        <family val="2"/>
      </rPr>
      <t xml:space="preserve">。 </t>
    </r>
    <r>
      <rPr>
        <sz val="11"/>
        <rFont val="Calibri"/>
        <family val="0"/>
        <charset val="1"/>
      </rPr>
      <t xml:space="preserve">/ OA</t>
    </r>
    <r>
      <rPr>
        <sz val="11"/>
        <rFont val="Noto Sans CJK SC"/>
        <family val="2"/>
      </rPr>
      <t xml:space="preserve">上限株数</t>
    </r>
    <r>
      <rPr>
        <sz val="11"/>
        <rFont val="Calibri"/>
        <family val="0"/>
        <charset val="1"/>
      </rPr>
      <t xml:space="preserve">4,904,600</t>
    </r>
    <r>
      <rPr>
        <sz val="11"/>
        <rFont val="Noto Sans CJK SC"/>
        <family val="2"/>
      </rPr>
      <t xml:space="preserve">は一次</t>
    </r>
    <r>
      <rPr>
        <sz val="11"/>
        <rFont val="Calibri"/>
        <family val="0"/>
        <charset val="1"/>
      </rPr>
      <t xml:space="preserve">PDF</t>
    </r>
    <r>
      <rPr>
        <sz val="11"/>
        <rFont val="Noto Sans CJK SC"/>
        <family val="2"/>
      </rPr>
      <t xml:space="preserve">で要確認</t>
    </r>
  </si>
  <si>
    <t xml:space="preserve">L002</t>
  </si>
  <si>
    <t xml:space="preserve">DeNA</t>
  </si>
  <si>
    <t xml:space="preserve">strategic/policy shareholder</t>
  </si>
  <si>
    <t xml:space="preserve">buyback_result</t>
  </si>
  <si>
    <t xml:space="preserve">executed_actual</t>
  </si>
  <si>
    <t xml:space="preserve">ToSTNeT-3 result</t>
  </si>
  <si>
    <t xml:space="preserve">2026-03-03</t>
  </si>
  <si>
    <t xml:space="preserve">DeNA tendered 1,657,400 Nintendo shares into buyback; planned offering shares fell from 6,000,000 to 4,342,600.</t>
  </si>
  <si>
    <t xml:space="preserve">Within-group leg showing absorption before offering; useful for parent-child event_group structure.</t>
  </si>
  <si>
    <t xml:space="preserve">https://finance-frontend-pc-dist.west.edge.storage-yahoo.jp/disclosure/20260303/20260302574028.pdf</t>
  </si>
  <si>
    <t xml:space="preserve">https://finance-frontend-pc-dist.west.edge.storage-yahoo.jp/disclosure/20260227/20260227571366.pdf</t>
  </si>
  <si>
    <r>
      <rPr>
        <sz val="11"/>
        <rFont val="Calibri"/>
        <family val="0"/>
        <charset val="1"/>
      </rPr>
      <t xml:space="preserve">Keep as separate leg under Nintendo group, not independent event. / Yahoo CDN</t>
    </r>
    <r>
      <rPr>
        <sz val="11"/>
        <rFont val="Noto Sans CJK SC"/>
        <family val="2"/>
      </rPr>
      <t xml:space="preserve">直リンクは恒久</t>
    </r>
    <r>
      <rPr>
        <sz val="11"/>
        <rFont val="Calibri"/>
        <family val="0"/>
        <charset val="1"/>
      </rPr>
      <t xml:space="preserve">URL</t>
    </r>
    <r>
      <rPr>
        <sz val="11"/>
        <rFont val="Noto Sans CJK SC"/>
        <family val="2"/>
      </rPr>
      <t xml:space="preserve">とは限らないため一次</t>
    </r>
    <r>
      <rPr>
        <sz val="11"/>
        <rFont val="Calibri"/>
        <family val="0"/>
        <charset val="1"/>
      </rPr>
      <t xml:space="preserve">PDF</t>
    </r>
    <r>
      <rPr>
        <sz val="11"/>
        <rFont val="Noto Sans CJK SC"/>
        <family val="2"/>
      </rPr>
      <t xml:space="preserve">保存必須。 </t>
    </r>
    <r>
      <rPr>
        <sz val="11"/>
        <rFont val="Calibri"/>
        <family val="0"/>
        <charset val="1"/>
      </rPr>
      <t xml:space="preserve">/ </t>
    </r>
    <r>
      <rPr>
        <sz val="11"/>
        <rFont val="Noto Sans CJK SC"/>
        <family val="2"/>
      </rPr>
      <t xml:space="preserve">取得実績</t>
    </r>
    <r>
      <rPr>
        <sz val="11"/>
        <rFont val="Calibri"/>
        <family val="0"/>
        <charset val="1"/>
      </rPr>
      <t xml:space="preserve">11,430,000</t>
    </r>
    <r>
      <rPr>
        <sz val="11"/>
        <rFont val="Noto Sans CJK SC"/>
        <family val="2"/>
      </rPr>
      <t xml:space="preserve">株・総額</t>
    </r>
    <r>
      <rPr>
        <sz val="11"/>
        <rFont val="Calibri"/>
        <family val="0"/>
        <charset val="1"/>
      </rPr>
      <t xml:space="preserve">99,921,060,000</t>
    </r>
    <r>
      <rPr>
        <sz val="11"/>
        <rFont val="Noto Sans CJK SC"/>
        <family val="2"/>
      </rPr>
      <t xml:space="preserve">円は</t>
    </r>
    <r>
      <rPr>
        <sz val="11"/>
        <rFont val="Calibri"/>
        <family val="0"/>
        <charset val="1"/>
      </rPr>
      <t xml:space="preserve">2026</t>
    </r>
    <r>
      <rPr>
        <sz val="11"/>
        <rFont val="Noto Sans CJK SC"/>
        <family val="2"/>
      </rPr>
      <t xml:space="preserve">年</t>
    </r>
    <r>
      <rPr>
        <sz val="11"/>
        <rFont val="Calibri"/>
        <family val="0"/>
        <charset val="1"/>
      </rPr>
      <t xml:space="preserve">3</t>
    </r>
    <r>
      <rPr>
        <sz val="11"/>
        <rFont val="Noto Sans CJK SC"/>
        <family val="2"/>
      </rPr>
      <t xml:space="preserve">月期有報の自己株式消却記載</t>
    </r>
    <r>
      <rPr>
        <sz val="11"/>
        <rFont val="Calibri"/>
        <family val="0"/>
        <charset val="1"/>
      </rPr>
      <t xml:space="preserve">(</t>
    </r>
    <r>
      <rPr>
        <sz val="11"/>
        <rFont val="Noto Sans CJK SC"/>
        <family val="2"/>
      </rPr>
      <t xml:space="preserve">発行済株式</t>
    </r>
    <r>
      <rPr>
        <sz val="11"/>
        <rFont val="Calibri"/>
        <family val="0"/>
        <charset val="1"/>
      </rPr>
      <t xml:space="preserve">11,430,000</t>
    </r>
    <r>
      <rPr>
        <sz val="11"/>
        <rFont val="Noto Sans CJK SC"/>
        <family val="2"/>
      </rPr>
      <t xml:space="preserve">株減</t>
    </r>
    <r>
      <rPr>
        <sz val="11"/>
        <rFont val="Calibri"/>
        <family val="0"/>
        <charset val="1"/>
      </rPr>
      <t xml:space="preserve">)</t>
    </r>
    <r>
      <rPr>
        <sz val="11"/>
        <rFont val="Noto Sans CJK SC"/>
        <family val="2"/>
      </rPr>
      <t xml:space="preserve">と整合</t>
    </r>
    <r>
      <rPr>
        <sz val="11"/>
        <rFont val="Calibri"/>
        <family val="0"/>
        <charset val="1"/>
      </rPr>
      <t xml:space="preserve">(S011)</t>
    </r>
  </si>
  <si>
    <t xml:space="preserve">G009</t>
  </si>
  <si>
    <t xml:space="preserve">candidate</t>
  </si>
  <si>
    <t xml:space="preserve">4063</t>
  </si>
  <si>
    <t xml:space="preserve">信越化学</t>
  </si>
  <si>
    <t xml:space="preserve">financial_institutions</t>
  </si>
  <si>
    <t xml:space="preserve">Tier2_candidate</t>
  </si>
  <si>
    <t xml:space="preserve">要一次資料 / 報道: 金融8社による売出し、OA込み約1,300億円規模(2026年2月)。数値は一次PDF取得後に入力</t>
  </si>
  <si>
    <t xml:space="preserve">G010</t>
  </si>
  <si>
    <t xml:space="preserve">4062</t>
  </si>
  <si>
    <t xml:space="preserve">イビデン</t>
  </si>
  <si>
    <t xml:space="preserve">要一次資料 / 報道: 2026年、数百億円規模の売出し。数値は一次PDF取得後に入力</t>
  </si>
  <si>
    <t xml:space="preserve">G011</t>
  </si>
  <si>
    <t xml:space="preserve">2871</t>
  </si>
  <si>
    <t xml:space="preserve">ニチレイ</t>
  </si>
  <si>
    <t xml:space="preserve">field</t>
  </si>
  <si>
    <t xml:space="preserve">type</t>
  </si>
  <si>
    <t xml:space="preserve">description</t>
  </si>
  <si>
    <t xml:space="preserve">entry_notes</t>
  </si>
  <si>
    <t xml:space="preserve">text</t>
  </si>
  <si>
    <t xml:space="preserve">一連の政策保有株削減・売却意思決定を束ねる親ID</t>
  </si>
  <si>
    <t xml:space="preserve">同一案件の売出し・自己株買い・条件決定・結果開示は同じgroup_id</t>
  </si>
  <si>
    <t xml:space="preserve">実際の売却/吸収/価格決定/結果開示の単位</t>
  </si>
  <si>
    <r>
      <rPr>
        <sz val="11"/>
        <rFont val="Calibri"/>
        <family val="0"/>
        <charset val="1"/>
      </rPr>
      <t xml:space="preserve">1</t>
    </r>
    <r>
      <rPr>
        <sz val="11"/>
        <rFont val="Noto Sans CJK SC"/>
        <family val="2"/>
      </rPr>
      <t xml:space="preserve">行</t>
    </r>
    <r>
      <rPr>
        <sz val="11"/>
        <rFont val="Calibri"/>
        <family val="0"/>
        <charset val="1"/>
      </rPr>
      <t xml:space="preserve">=issuer×route×tranche/leg</t>
    </r>
    <r>
      <rPr>
        <sz val="11"/>
        <rFont val="Noto Sans CJK SC"/>
        <family val="2"/>
      </rPr>
      <t xml:space="preserve">。</t>
    </r>
    <r>
      <rPr>
        <sz val="11"/>
        <rFont val="Calibri"/>
        <family val="0"/>
        <charset val="1"/>
      </rPr>
      <t xml:space="preserve">leg</t>
    </r>
    <r>
      <rPr>
        <sz val="11"/>
        <rFont val="Noto Sans CJK SC"/>
        <family val="2"/>
      </rPr>
      <t xml:space="preserve">は売主別に分割しない</t>
    </r>
  </si>
  <si>
    <t xml:space="preserve">enum</t>
  </si>
  <si>
    <t xml:space="preserve">入力状態</t>
  </si>
  <si>
    <t xml:space="preserve">seeded/candidate/needs_source_check/needs_price_data/complete/exclude</t>
  </si>
  <si>
    <t xml:space="preserve">発行体の証券コード</t>
  </si>
  <si>
    <t xml:space="preserve">不明・未検証は空欄</t>
  </si>
  <si>
    <t xml:space="preserve">発行体名</t>
  </si>
  <si>
    <t xml:space="preserve">一次資料未取得の候補行は社名のみ可</t>
  </si>
  <si>
    <t xml:space="preserve">市場区分</t>
  </si>
  <si>
    <t xml:space="preserve">不明は空欄</t>
  </si>
  <si>
    <t xml:space="preserve">売主名の概略</t>
  </si>
  <si>
    <t xml:space="preserve">詳細売主別株数はseller_breakdownに名称:株数;区切りで記録</t>
  </si>
  <si>
    <t xml:space="preserve">売主タイプ</t>
  </si>
  <si>
    <r>
      <rPr>
        <sz val="11"/>
        <rFont val="Calibri"/>
        <family val="0"/>
        <charset val="1"/>
      </rPr>
      <t xml:space="preserve">nonlife_insurer/bank/trust_bank/business_company/parent_or_affiliate/financial_institutions</t>
    </r>
    <r>
      <rPr>
        <sz val="11"/>
        <rFont val="Noto Sans CJK SC"/>
        <family val="2"/>
      </rPr>
      <t xml:space="preserve">など</t>
    </r>
  </si>
  <si>
    <t xml:space="preserve">発行体と売主の関係</t>
  </si>
  <si>
    <t xml:space="preserve">政策保有・親会社・取引先・退職給付信託など</t>
  </si>
  <si>
    <t xml:space="preserve">イベント確度/用途</t>
  </si>
  <si>
    <r>
      <rPr>
        <sz val="11"/>
        <rFont val="Calibri"/>
        <family val="0"/>
        <charset val="1"/>
      </rPr>
      <t xml:space="preserve">Tier1_confirmed=</t>
    </r>
    <r>
      <rPr>
        <sz val="11"/>
        <rFont val="Noto Sans CJK SC"/>
        <family val="2"/>
      </rPr>
      <t xml:space="preserve">確定売却、</t>
    </r>
    <r>
      <rPr>
        <sz val="11"/>
        <rFont val="Calibri"/>
        <family val="0"/>
        <charset val="1"/>
      </rPr>
      <t xml:space="preserve">Tier2_candidate=</t>
    </r>
    <r>
      <rPr>
        <sz val="11"/>
        <rFont val="Noto Sans CJK SC"/>
        <family val="2"/>
      </rPr>
      <t xml:space="preserve">候補</t>
    </r>
    <r>
      <rPr>
        <sz val="11"/>
        <rFont val="Calibri"/>
        <family val="0"/>
        <charset val="1"/>
      </rPr>
      <t xml:space="preserve">/</t>
    </r>
    <r>
      <rPr>
        <sz val="11"/>
        <rFont val="Noto Sans CJK SC"/>
        <family val="2"/>
      </rPr>
      <t xml:space="preserve">方針、</t>
    </r>
    <r>
      <rPr>
        <sz val="11"/>
        <rFont val="Calibri"/>
        <family val="0"/>
        <charset val="1"/>
      </rPr>
      <t xml:space="preserve">Tier3_overhang=</t>
    </r>
    <r>
      <rPr>
        <sz val="11"/>
        <rFont val="Noto Sans CJK SC"/>
        <family val="2"/>
      </rPr>
      <t xml:space="preserve">背景圧力</t>
    </r>
  </si>
  <si>
    <r>
      <rPr>
        <sz val="11"/>
        <rFont val="Calibri"/>
        <family val="0"/>
        <charset val="1"/>
      </rPr>
      <t xml:space="preserve">leg</t>
    </r>
    <r>
      <rPr>
        <sz val="11"/>
        <rFont val="Noto Sans CJK SC"/>
        <family val="2"/>
      </rPr>
      <t xml:space="preserve">の役割</t>
    </r>
  </si>
  <si>
    <r>
      <rPr>
        <sz val="11"/>
        <rFont val="Calibri"/>
        <family val="0"/>
        <charset val="1"/>
      </rPr>
      <t xml:space="preserve">announcement/pricing/settlement/trade/buyback_decision/buyback_result/policy_intent</t>
    </r>
    <r>
      <rPr>
        <sz val="11"/>
        <rFont val="Noto Sans CJK SC"/>
        <family val="2"/>
      </rPr>
      <t xml:space="preserve">など</t>
    </r>
  </si>
  <si>
    <t xml:space="preserve">売りが市場に出る構造</t>
  </si>
  <si>
    <t xml:space="preserve">secondary_offering/toSTNeT_3/share_forward/block_trade/open_market_sale/market_sale_undetermined/mixed/unknown</t>
  </si>
  <si>
    <t xml:space="preserve">発行体・引受・銀行などがどう吸収したか</t>
  </si>
  <si>
    <r>
      <rPr>
        <sz val="11"/>
        <rFont val="Calibri"/>
        <family val="0"/>
        <charset val="1"/>
      </rPr>
      <t xml:space="preserve">public_offering/toSTNeT_3_buyback/issuer_buyback/underwriter_inventory/counterparty_bank_forward/public_market/unknown</t>
    </r>
    <r>
      <rPr>
        <sz val="11"/>
        <rFont val="Noto Sans CJK SC"/>
        <family val="2"/>
      </rPr>
      <t xml:space="preserve">など</t>
    </r>
  </si>
  <si>
    <t xml:space="preserve">bool</t>
  </si>
  <si>
    <t xml:space="preserve">自己株買い支援の有無</t>
  </si>
  <si>
    <t xml:space="preserve">既存枠・同時発表・ToSTNeT-3などはbuyback_method/route_notesへ</t>
  </si>
  <si>
    <t xml:space="preserve">オーバーアロットメント有無</t>
  </si>
  <si>
    <t xml:space="preserve">最大株数はOA_shares_max、実行株数はOA_exercised_shares</t>
  </si>
  <si>
    <t xml:space="preserve">ロックアップ有無</t>
  </si>
  <si>
    <t xml:space="preserve">日数はlockup_days</t>
  </si>
  <si>
    <t xml:space="preserve">安定操作・シンジケート支援等の有無</t>
  </si>
  <si>
    <t xml:space="preserve">time</t>
  </si>
  <si>
    <t xml:space="preserve">開示時刻 HH:MM</t>
  </si>
  <si>
    <r>
      <rPr>
        <sz val="11"/>
        <rFont val="Calibri"/>
        <family val="0"/>
        <charset val="1"/>
      </rPr>
      <t xml:space="preserve">TDnet</t>
    </r>
    <r>
      <rPr>
        <sz val="11"/>
        <rFont val="Noto Sans CJK SC"/>
        <family val="2"/>
      </rPr>
      <t xml:space="preserve">等で確認。日付とは分ける</t>
    </r>
  </si>
  <si>
    <t xml:space="preserve">引け後開示か</t>
  </si>
  <si>
    <r>
      <rPr>
        <sz val="11"/>
        <rFont val="Calibri"/>
        <family val="0"/>
        <charset val="1"/>
      </rPr>
      <t xml:space="preserve">day 0 = </t>
    </r>
    <r>
      <rPr>
        <sz val="11"/>
        <rFont val="Noto Sans CJK SC"/>
        <family val="2"/>
      </rPr>
      <t xml:space="preserve">反応可能な最初の立会。引け後開示なら翌営業日を</t>
    </r>
    <r>
      <rPr>
        <sz val="11"/>
        <rFont val="Calibri"/>
        <family val="0"/>
        <charset val="1"/>
      </rPr>
      <t xml:space="preserve">day 0</t>
    </r>
    <r>
      <rPr>
        <sz val="11"/>
        <rFont val="Noto Sans CJK SC"/>
        <family val="2"/>
      </rPr>
      <t xml:space="preserve">とする</t>
    </r>
  </si>
  <si>
    <t xml:space="preserve">date</t>
  </si>
  <si>
    <t xml:space="preserve">開示日</t>
  </si>
  <si>
    <r>
      <rPr>
        <sz val="11"/>
        <rFont val="Calibri"/>
        <family val="0"/>
        <charset val="1"/>
      </rPr>
      <t xml:space="preserve">disclosure_time</t>
    </r>
    <r>
      <rPr>
        <sz val="11"/>
        <rFont val="Noto Sans CJK SC"/>
        <family val="2"/>
      </rPr>
      <t xml:space="preserve">と併用。市場反応日は</t>
    </r>
    <r>
      <rPr>
        <sz val="11"/>
        <rFont val="Calibri"/>
        <family val="0"/>
        <charset val="1"/>
      </rPr>
      <t xml:space="preserve">after_close</t>
    </r>
    <r>
      <rPr>
        <sz val="11"/>
        <rFont val="Noto Sans CJK SC"/>
        <family val="2"/>
      </rPr>
      <t xml:space="preserve">規則で調整</t>
    </r>
  </si>
  <si>
    <t xml:space="preserve">条件決定日</t>
  </si>
  <si>
    <t xml:space="preserve">期間しか分からない場合は空欄にしnotes/route_notesに記載</t>
  </si>
  <si>
    <t xml:space="preserve">受渡日</t>
  </si>
  <si>
    <t xml:space="preserve">実施/取引日</t>
  </si>
  <si>
    <r>
      <rPr>
        <sz val="11"/>
        <rFont val="Calibri"/>
        <family val="0"/>
        <charset val="1"/>
      </rPr>
      <t xml:space="preserve">ToSTNeT-3</t>
    </r>
    <r>
      <rPr>
        <sz val="11"/>
        <rFont val="Noto Sans CJK SC"/>
        <family val="2"/>
      </rPr>
      <t xml:space="preserve">等の実行日</t>
    </r>
  </si>
  <si>
    <t xml:space="preserve">株数の根拠</t>
  </si>
  <si>
    <r>
      <rPr>
        <sz val="11"/>
        <rFont val="Calibri"/>
        <family val="0"/>
        <charset val="1"/>
      </rPr>
      <t xml:space="preserve">resolution_max=</t>
    </r>
    <r>
      <rPr>
        <sz val="11"/>
        <rFont val="Noto Sans CJK SC"/>
        <family val="2"/>
      </rPr>
      <t xml:space="preserve">決議上の上限 </t>
    </r>
    <r>
      <rPr>
        <sz val="11"/>
        <rFont val="Calibri"/>
        <family val="0"/>
        <charset val="1"/>
      </rPr>
      <t xml:space="preserve">/ announced_total=</t>
    </r>
    <r>
      <rPr>
        <sz val="11"/>
        <rFont val="Noto Sans CJK SC"/>
        <family val="2"/>
      </rPr>
      <t xml:space="preserve">発表時の総量・契約総量 </t>
    </r>
    <r>
      <rPr>
        <sz val="11"/>
        <rFont val="Calibri"/>
        <family val="0"/>
        <charset val="1"/>
      </rPr>
      <t xml:space="preserve">/ priced_final=</t>
    </r>
    <r>
      <rPr>
        <sz val="11"/>
        <rFont val="Noto Sans CJK SC"/>
        <family val="2"/>
      </rPr>
      <t xml:space="preserve">条件決定後の確定値 </t>
    </r>
    <r>
      <rPr>
        <sz val="11"/>
        <rFont val="Calibri"/>
        <family val="0"/>
        <charset val="1"/>
      </rPr>
      <t xml:space="preserve">/ estimate_close_price=</t>
    </r>
    <r>
      <rPr>
        <sz val="11"/>
        <rFont val="Noto Sans CJK SC"/>
        <family val="2"/>
      </rPr>
      <t xml:space="preserve">終値ベース推定 </t>
    </r>
    <r>
      <rPr>
        <sz val="11"/>
        <rFont val="Calibri"/>
        <family val="0"/>
        <charset val="1"/>
      </rPr>
      <t xml:space="preserve">/ executed_actual=</t>
    </r>
    <r>
      <rPr>
        <sz val="11"/>
        <rFont val="Noto Sans CJK SC"/>
        <family val="2"/>
      </rPr>
      <t xml:space="preserve">執行実績</t>
    </r>
  </si>
  <si>
    <t xml:space="preserve">金額の根拠</t>
  </si>
  <si>
    <t xml:space="preserve">number</t>
  </si>
  <si>
    <t xml:space="preserve">当初売出株式数</t>
  </si>
  <si>
    <t xml:space="preserve">需要/失敗リスク観測量。OAは別列</t>
  </si>
  <si>
    <t xml:space="preserve">最終売出株式数</t>
  </si>
  <si>
    <t xml:space="preserve">自己株買い応募・条件変更後の株数。未確認は空欄</t>
  </si>
  <si>
    <r>
      <rPr>
        <sz val="11"/>
        <rFont val="Calibri"/>
        <family val="0"/>
        <charset val="1"/>
      </rPr>
      <t xml:space="preserve">OA</t>
    </r>
    <r>
      <rPr>
        <sz val="11"/>
        <rFont val="Noto Sans CJK SC"/>
        <family val="2"/>
      </rPr>
      <t xml:space="preserve">最大株数</t>
    </r>
  </si>
  <si>
    <t xml:space="preserve">オーバーアロットメント上限</t>
  </si>
  <si>
    <r>
      <rPr>
        <sz val="11"/>
        <rFont val="Calibri"/>
        <family val="0"/>
        <charset val="1"/>
      </rPr>
      <t xml:space="preserve">OA</t>
    </r>
    <r>
      <rPr>
        <sz val="11"/>
        <rFont val="Noto Sans CJK SC"/>
        <family val="2"/>
      </rPr>
      <t xml:space="preserve">実行株数</t>
    </r>
  </si>
  <si>
    <t xml:space="preserve">需要と失敗リスクの観測量。未確認は空欄</t>
  </si>
  <si>
    <t xml:space="preserve">売却/取得株数または当該legの株数</t>
  </si>
  <si>
    <t xml:space="preserve">複数売主の合算。売主別はseller_breakdown</t>
  </si>
  <si>
    <t xml:space="preserve">売却金額/想定総額（円）</t>
  </si>
  <si>
    <r>
      <rPr>
        <sz val="11"/>
        <rFont val="Calibri"/>
        <family val="0"/>
        <charset val="1"/>
      </rPr>
      <t xml:space="preserve">value_basis</t>
    </r>
    <r>
      <rPr>
        <sz val="11"/>
        <rFont val="Noto Sans CJK SC"/>
        <family val="2"/>
      </rPr>
      <t xml:space="preserve">で根拠を区別。推定値・上限は</t>
    </r>
    <r>
      <rPr>
        <sz val="11"/>
        <rFont val="Calibri"/>
        <family val="0"/>
        <charset val="1"/>
      </rPr>
      <t xml:space="preserve">notes</t>
    </r>
    <r>
      <rPr>
        <sz val="11"/>
        <rFont val="Noto Sans CJK SC"/>
        <family val="2"/>
      </rPr>
      <t xml:space="preserve">へ</t>
    </r>
  </si>
  <si>
    <t xml:space="preserve">売却前保有株数</t>
  </si>
  <si>
    <t xml:space="preserve">売却後保有株数</t>
  </si>
  <si>
    <t xml:space="preserve">発表前20営業日平均出来高</t>
  </si>
  <si>
    <t xml:space="preserve">価格データ取得後に入力</t>
  </si>
  <si>
    <t xml:space="preserve">発表前60営業日平均出来高</t>
  </si>
  <si>
    <t xml:space="preserve">浮動株数</t>
  </si>
  <si>
    <r>
      <rPr>
        <sz val="11"/>
        <rFont val="Calibri"/>
        <family val="0"/>
        <charset val="1"/>
      </rPr>
      <t xml:space="preserve">size/free_float</t>
    </r>
    <r>
      <rPr>
        <sz val="11"/>
        <rFont val="Noto Sans CJK SC"/>
        <family val="2"/>
      </rPr>
      <t xml:space="preserve">計算用</t>
    </r>
  </si>
  <si>
    <t xml:space="preserve">時価総額（円）</t>
  </si>
  <si>
    <r>
      <rPr>
        <sz val="11"/>
        <rFont val="Calibri"/>
        <family val="0"/>
        <charset val="1"/>
      </rPr>
      <t xml:space="preserve">size/market cap</t>
    </r>
    <r>
      <rPr>
        <sz val="11"/>
        <rFont val="Noto Sans CJK SC"/>
        <family val="2"/>
      </rPr>
      <t xml:space="preserve">計算用</t>
    </r>
  </si>
  <si>
    <t xml:space="preserve">formula</t>
  </si>
  <si>
    <t xml:space="preserve">sold_shares / ADV20_shares</t>
  </si>
  <si>
    <t xml:space="preserve">=IF(AND(sold_shares,ADV20),sold_shares/ADV20,"")</t>
  </si>
  <si>
    <t xml:space="preserve">sold_shares / ADV60_shares</t>
  </si>
  <si>
    <t xml:space="preserve">=IF(AND(sold_shares,ADV60),sold_shares/ADV60,"")</t>
  </si>
  <si>
    <t xml:space="preserve">sold_shares / free_float_shares</t>
  </si>
  <si>
    <t xml:space="preserve">短期需給でなく構造的吸収余力を見る</t>
  </si>
  <si>
    <t xml:space="preserve">sold_value_JPY / market_cap_JPY</t>
  </si>
  <si>
    <t xml:space="preserve">金額ベースの相対規模</t>
  </si>
  <si>
    <t xml:space="preserve">売出価格・買取価格</t>
  </si>
  <si>
    <t xml:space="preserve">条件決定/決議前の基準終値</t>
  </si>
  <si>
    <r>
      <rPr>
        <sz val="11"/>
        <rFont val="Calibri"/>
        <family val="0"/>
        <charset val="1"/>
      </rPr>
      <t xml:space="preserve">discount</t>
    </r>
    <r>
      <rPr>
        <sz val="11"/>
        <rFont val="Noto Sans CJK SC"/>
        <family val="2"/>
      </rPr>
      <t xml:space="preserve">計算用</t>
    </r>
  </si>
  <si>
    <t xml:space="preserve">offer_price_JPY / previous_close_JPY - 1</t>
  </si>
  <si>
    <r>
      <rPr>
        <sz val="11"/>
        <rFont val="Calibri"/>
        <family val="0"/>
        <charset val="1"/>
      </rPr>
      <t xml:space="preserve">offer_price</t>
    </r>
    <r>
      <rPr>
        <sz val="11"/>
        <rFont val="Noto Sans CJK SC"/>
        <family val="2"/>
      </rPr>
      <t xml:space="preserve">と</t>
    </r>
    <r>
      <rPr>
        <sz val="11"/>
        <rFont val="Calibri"/>
        <family val="0"/>
        <charset val="1"/>
      </rPr>
      <t xml:space="preserve">previous_close</t>
    </r>
    <r>
      <rPr>
        <sz val="11"/>
        <rFont val="Noto Sans CJK SC"/>
        <family val="2"/>
      </rPr>
      <t xml:space="preserve">入力後に自動計算</t>
    </r>
  </si>
  <si>
    <t xml:space="preserve">自己株買い上限/実績株数</t>
  </si>
  <si>
    <r>
      <rPr>
        <sz val="11"/>
        <rFont val="Calibri"/>
        <family val="0"/>
        <charset val="1"/>
      </rPr>
      <t xml:space="preserve">quantity_basis/value_basis</t>
    </r>
    <r>
      <rPr>
        <sz val="11"/>
        <rFont val="Noto Sans CJK SC"/>
        <family val="2"/>
      </rPr>
      <t xml:space="preserve">と合わせて解釈</t>
    </r>
  </si>
  <si>
    <t xml:space="preserve">自己株買い上限/実績金額</t>
  </si>
  <si>
    <t xml:space="preserve">自己株買い方法</t>
  </si>
  <si>
    <r>
      <rPr>
        <sz val="11"/>
        <rFont val="Calibri"/>
        <family val="0"/>
        <charset val="1"/>
      </rPr>
      <t xml:space="preserve">ToSTNeT-3/</t>
    </r>
    <r>
      <rPr>
        <sz val="11"/>
        <rFont val="Noto Sans CJK SC"/>
        <family val="2"/>
      </rPr>
      <t xml:space="preserve">市場買付</t>
    </r>
    <r>
      <rPr>
        <sz val="11"/>
        <rFont val="Calibri"/>
        <family val="0"/>
        <charset val="1"/>
      </rPr>
      <t xml:space="preserve">/</t>
    </r>
    <r>
      <rPr>
        <sz val="11"/>
        <rFont val="Noto Sans CJK SC"/>
        <family val="2"/>
      </rPr>
      <t xml:space="preserve">公開買付など</t>
    </r>
  </si>
  <si>
    <t xml:space="preserve">自己株買い期間/実施時刻</t>
  </si>
  <si>
    <t xml:space="preserve">期間・時刻を文字列で記録</t>
  </si>
  <si>
    <t xml:space="preserve">取得全株/一部の消却有無</t>
  </si>
  <si>
    <r>
      <rPr>
        <sz val="11"/>
        <rFont val="Calibri"/>
        <family val="0"/>
        <charset val="1"/>
      </rPr>
      <t xml:space="preserve">TRUE/FALSE</t>
    </r>
    <r>
      <rPr>
        <sz val="11"/>
        <rFont val="Noto Sans CJK SC"/>
        <family val="2"/>
      </rPr>
      <t xml:space="preserve">。不明は空欄</t>
    </r>
  </si>
  <si>
    <t xml:space="preserve">ロックアップ日数</t>
  </si>
  <si>
    <t xml:space="preserve">主幹事/リード引受証券</t>
  </si>
  <si>
    <t xml:space="preserve">売主別株数</t>
  </si>
  <si>
    <t xml:space="preserve">「名称:株数;」区切り。legは売主別に分割しない</t>
  </si>
  <si>
    <t xml:space="preserve">アクティビスト圧力の有無</t>
  </si>
  <si>
    <r>
      <rPr>
        <sz val="11"/>
        <rFont val="Calibri"/>
        <family val="0"/>
        <charset val="1"/>
      </rPr>
      <t xml:space="preserve">TRUE/FALSE/unknown</t>
    </r>
    <r>
      <rPr>
        <sz val="11"/>
        <rFont val="Noto Sans CJK SC"/>
        <family val="2"/>
      </rPr>
      <t xml:space="preserve">。不明は</t>
    </r>
    <r>
      <rPr>
        <sz val="11"/>
        <rFont val="Calibri"/>
        <family val="0"/>
        <charset val="1"/>
      </rPr>
      <t xml:space="preserve">unknown</t>
    </r>
    <r>
      <rPr>
        <sz val="11"/>
        <rFont val="Noto Sans CJK SC"/>
        <family val="2"/>
      </rPr>
      <t xml:space="preserve">または空欄</t>
    </r>
  </si>
  <si>
    <t xml:space="preserve">発表日前後CAR[-1,+1]</t>
  </si>
  <si>
    <t xml:space="preserve">発表日から翌日のCAR[0,+1]</t>
  </si>
  <si>
    <r>
      <rPr>
        <sz val="11"/>
        <rFont val="Calibri"/>
        <family val="0"/>
        <charset val="1"/>
      </rPr>
      <t xml:space="preserve">day0</t>
    </r>
    <r>
      <rPr>
        <sz val="11"/>
        <rFont val="Noto Sans CJK SC"/>
        <family val="2"/>
      </rPr>
      <t xml:space="preserve">規則に従う</t>
    </r>
  </si>
  <si>
    <t xml:space="preserve">条件決定日前後CAR[-1,+1]</t>
  </si>
  <si>
    <t xml:space="preserve">受渡日前後CAR[-1,+1]</t>
  </si>
  <si>
    <t xml:space="preserve">発表日day0から条件決定日までのドリフト</t>
  </si>
  <si>
    <t xml:space="preserve">価格データ取得後に計算。v0.2では空欄</t>
  </si>
  <si>
    <r>
      <rPr>
        <sz val="11"/>
        <rFont val="Calibri"/>
        <family val="0"/>
        <charset val="1"/>
      </rPr>
      <t xml:space="preserve">5</t>
    </r>
    <r>
      <rPr>
        <sz val="11"/>
        <rFont val="Noto Sans CJK SC"/>
        <family val="2"/>
      </rPr>
      <t xml:space="preserve">営業日回復</t>
    </r>
  </si>
  <si>
    <r>
      <rPr>
        <sz val="11"/>
        <rFont val="Calibri"/>
        <family val="0"/>
        <charset val="1"/>
      </rPr>
      <t xml:space="preserve">20</t>
    </r>
    <r>
      <rPr>
        <sz val="11"/>
        <rFont val="Noto Sans CJK SC"/>
        <family val="2"/>
      </rPr>
      <t xml:space="preserve">営業日回復</t>
    </r>
  </si>
  <si>
    <r>
      <rPr>
        <sz val="11"/>
        <rFont val="Calibri"/>
        <family val="0"/>
        <charset val="1"/>
      </rPr>
      <t xml:space="preserve">60</t>
    </r>
    <r>
      <rPr>
        <sz val="11"/>
        <rFont val="Noto Sans CJK SC"/>
        <family val="2"/>
      </rPr>
      <t xml:space="preserve">営業日回復</t>
    </r>
  </si>
  <si>
    <t xml:space="preserve">発表後0〜3営業日の異常出来高</t>
  </si>
  <si>
    <t xml:space="preserve">価格/出来高データ取得後に入力</t>
  </si>
  <si>
    <t xml:space="preserve">売却構造・支援条件のメモ</t>
  </si>
  <si>
    <t xml:space="preserve">条件決定期間や売出株式数変動可能性など</t>
  </si>
  <si>
    <t xml:space="preserve">想定メカニズム仮説</t>
  </si>
  <si>
    <r>
      <rPr>
        <sz val="11"/>
        <rFont val="Calibri"/>
        <family val="0"/>
        <charset val="1"/>
      </rPr>
      <t xml:space="preserve">ABM</t>
    </r>
    <r>
      <rPr>
        <sz val="11"/>
        <rFont val="Noto Sans CJK SC"/>
        <family val="2"/>
      </rPr>
      <t xml:space="preserve">候補判定の理由</t>
    </r>
  </si>
  <si>
    <r>
      <rPr>
        <sz val="11"/>
        <rFont val="Calibri"/>
        <family val="0"/>
        <charset val="1"/>
      </rPr>
      <t xml:space="preserve">ABM</t>
    </r>
    <r>
      <rPr>
        <sz val="11"/>
        <rFont val="Noto Sans CJK SC"/>
        <family val="2"/>
      </rPr>
      <t xml:space="preserve">候補フラグ</t>
    </r>
  </si>
  <si>
    <r>
      <rPr>
        <sz val="11"/>
        <rFont val="Calibri"/>
        <family val="0"/>
        <charset val="1"/>
      </rPr>
      <t xml:space="preserve">Yes/No/Maybe</t>
    </r>
    <r>
      <rPr>
        <sz val="11"/>
        <rFont val="Noto Sans CJK SC"/>
        <family val="2"/>
      </rPr>
      <t xml:space="preserve">。残差が構造タグに集中する場合のみ</t>
    </r>
    <r>
      <rPr>
        <sz val="11"/>
        <rFont val="Calibri"/>
        <family val="0"/>
        <charset val="1"/>
      </rPr>
      <t xml:space="preserve">Yes</t>
    </r>
  </si>
  <si>
    <t xml:space="preserve">政策保有株売却とみなせる強度</t>
  </si>
  <si>
    <t xml:space="preserve">A_explicit_policy_holding/B_strong_inference/C_possible_only/D_not_policy_holding</t>
  </si>
  <si>
    <t xml:space="preserve">一次資料URL</t>
  </si>
  <si>
    <r>
      <rPr>
        <sz val="11"/>
        <rFont val="Calibri"/>
        <family val="0"/>
        <charset val="1"/>
      </rPr>
      <t xml:space="preserve">TDnet/</t>
    </r>
    <r>
      <rPr>
        <sz val="11"/>
        <rFont val="Noto Sans CJK SC"/>
        <family val="2"/>
      </rPr>
      <t xml:space="preserve">会社</t>
    </r>
    <r>
      <rPr>
        <sz val="11"/>
        <rFont val="Calibri"/>
        <family val="0"/>
        <charset val="1"/>
      </rPr>
      <t xml:space="preserve">PDF/EDINET</t>
    </r>
    <r>
      <rPr>
        <sz val="11"/>
        <rFont val="Noto Sans CJK SC"/>
        <family val="2"/>
      </rPr>
      <t xml:space="preserve">等</t>
    </r>
  </si>
  <si>
    <t xml:space="preserve">二次資料URL</t>
  </si>
  <si>
    <r>
      <rPr>
        <sz val="11"/>
        <rFont val="Calibri"/>
        <family val="0"/>
        <charset val="1"/>
      </rPr>
      <t xml:space="preserve">Reuters</t>
    </r>
    <r>
      <rPr>
        <sz val="11"/>
        <rFont val="Noto Sans CJK SC"/>
        <family val="2"/>
      </rPr>
      <t xml:space="preserve">等。一次資料優先</t>
    </r>
  </si>
  <si>
    <t xml:space="preserve">注記・不明値理由</t>
  </si>
  <si>
    <t xml:space="preserve">明記値以外は空欄とし、理由をここに書く</t>
  </si>
  <si>
    <t xml:space="preserve">nonlife_insurer</t>
  </si>
  <si>
    <t xml:space="preserve">pricing</t>
  </si>
  <si>
    <t xml:space="preserve">priced_final</t>
  </si>
  <si>
    <t xml:space="preserve">needs_source_check</t>
  </si>
  <si>
    <t xml:space="preserve">Tier3_overhang</t>
  </si>
  <si>
    <t xml:space="preserve">settlement</t>
  </si>
  <si>
    <t xml:space="preserve">issuer_buyback</t>
  </si>
  <si>
    <t xml:space="preserve">trust_bank</t>
  </si>
  <si>
    <t xml:space="preserve">C_possible_only</t>
  </si>
  <si>
    <t xml:space="preserve">needs_price_data</t>
  </si>
  <si>
    <t xml:space="preserve">trade</t>
  </si>
  <si>
    <t xml:space="preserve">underwriter_inventory</t>
  </si>
  <si>
    <t xml:space="preserve">D_not_policy_holding</t>
  </si>
  <si>
    <t xml:space="preserve">complete</t>
  </si>
  <si>
    <t xml:space="preserve">exclude</t>
  </si>
  <si>
    <t xml:space="preserve">public_market</t>
  </si>
  <si>
    <t xml:space="preserve">policy_intent</t>
  </si>
  <si>
    <t xml:space="preserve">self_tender_offer</t>
  </si>
  <si>
    <t xml:space="preserve">none</t>
  </si>
  <si>
    <t xml:space="preserve">other</t>
  </si>
  <si>
    <t xml:space="preserve">Step</t>
  </si>
  <si>
    <t xml:space="preserve">Model</t>
  </si>
  <si>
    <t xml:space="preserve">Formula / Test</t>
  </si>
  <si>
    <t xml:space="preserve">Decision Rule</t>
  </si>
  <si>
    <t xml:space="preserve">0</t>
  </si>
  <si>
    <t xml:space="preserve">Sample definition</t>
  </si>
  <si>
    <t xml:space="preserve">Main sample = Tier1_confirmed and confidence A/B</t>
  </si>
  <si>
    <t xml:space="preserve">Do not mix Tier2/3 into execution-impact regressions</t>
  </si>
  <si>
    <t xml:space="preserve">Size/ADV</t>
  </si>
  <si>
    <t xml:space="preserve">impact = α + β log(size / ADV20)</t>
  </si>
  <si>
    <t xml:space="preserve">If this explains everything, ABM is unnecessary</t>
  </si>
  <si>
    <t xml:space="preserve">Square-root impact</t>
  </si>
  <si>
    <t xml:space="preserve">impact = Y × σ × sqrt(Q/V)</t>
  </si>
  <si>
    <t xml:space="preserve">Use as external-impact benchmark</t>
  </si>
  <si>
    <t xml:space="preserve">Route/support FE</t>
  </si>
  <si>
    <t xml:space="preserve">impact ~ log(size/ADV) + log(size/free_float) + vol + seller_type + route + buyback_support + OA + industry FE + month FE</t>
  </si>
  <si>
    <r>
      <rPr>
        <sz val="11"/>
        <rFont val="Calibri"/>
        <family val="0"/>
        <charset val="1"/>
      </rPr>
      <t xml:space="preserve">Route</t>
    </r>
    <r>
      <rPr>
        <sz val="11"/>
        <rFont val="Noto Sans CJK SC"/>
        <family val="2"/>
      </rPr>
      <t xml:space="preserve">係数は記述統計。</t>
    </r>
    <r>
      <rPr>
        <sz val="11"/>
        <rFont val="Calibri"/>
        <family val="0"/>
        <charset val="1"/>
      </rPr>
      <t xml:space="preserve">route is endogenously selected; do not read as causal effect.</t>
    </r>
  </si>
  <si>
    <t xml:space="preserve">3.5</t>
  </si>
  <si>
    <t xml:space="preserve">Route choice / selection function</t>
  </si>
  <si>
    <t xml:space="preserve">Estimate P(route | observables). route is endogenously selected, so Step 3 route coefficients are descriptive rather than causal.</t>
  </si>
  <si>
    <t xml:space="preserve">ABM validation targets: (a) overlapping size/ADV band where multiple routes coexist, (b) contrast events with vs without buyback support.</t>
  </si>
  <si>
    <t xml:space="preserve">Discount model</t>
  </si>
  <si>
    <t xml:space="preserve">discount ~ size/ADV + volatility + route + seller_type + OA + buyback_support</t>
  </si>
  <si>
    <t xml:space="preserve">Separate pricing concession from announcement CAR</t>
  </si>
  <si>
    <t xml:space="preserve">Residual clustering</t>
  </si>
  <si>
    <t xml:space="preserve">residual ~ low free float × large size × no buyback etc.</t>
  </si>
  <si>
    <t xml:space="preserve">ABM only where residuals are non-random and mechanism-like</t>
  </si>
  <si>
    <t xml:space="preserve">ABM candidate</t>
  </si>
  <si>
    <t xml:space="preserve">Scenario search around route boundary, buyback absorption, front-running/liquidity withdrawal, low-liquidity tail</t>
  </si>
  <si>
    <t xml:space="preserve">No ABM if residuals are just noise</t>
  </si>
  <si>
    <t xml:space="preserve">source_id</t>
  </si>
  <si>
    <t xml:space="preserve">source_type</t>
  </si>
  <si>
    <t xml:space="preserve">source_url</t>
  </si>
  <si>
    <t xml:space="preserve">what_it_supports</t>
  </si>
  <si>
    <t xml:space="preserve">archived</t>
  </si>
  <si>
    <t xml:space="preserve">S001</t>
  </si>
  <si>
    <t xml:space="preserve">legal/practice memo</t>
  </si>
  <si>
    <t xml:space="preserve">https://www.nagashima.com/wp-content/uploads/2024/12/capital_no44.pdf</t>
  </si>
  <si>
    <t xml:space="preserve">Policy shareholding sale methods: offering, block, market, off-auction distribution, bilateral sale, issuer buyback/ToSTNeT-3/self-tender.</t>
  </si>
  <si>
    <t xml:space="preserve">S002</t>
  </si>
  <si>
    <t xml:space="preserve">JPX official</t>
  </si>
  <si>
    <t xml:space="preserve">https://www.jpx.co.jp/equities/trading/own-company-shares/index.html</t>
  </si>
  <si>
    <t xml:space="preserve">Issuer repurchases can use ToSTNeT-2 and ToSTNeT-3 in addition to regular market buying.</t>
  </si>
  <si>
    <t xml:space="preserve">S003</t>
  </si>
  <si>
    <t xml:space="preserve">Company disclosure</t>
  </si>
  <si>
    <t xml:space="preserve">Honda secondary offering and buyback authorization details.</t>
  </si>
  <si>
    <t xml:space="preserve">S004</t>
  </si>
  <si>
    <t xml:space="preserve">Aisin secondary offering, sellers, OA, and buyback support.</t>
  </si>
  <si>
    <r>
      <rPr>
        <sz val="11"/>
        <rFont val="Calibri"/>
        <family val="0"/>
        <charset val="1"/>
      </rPr>
      <t xml:space="preserve">URL path contains 2027; </t>
    </r>
    <r>
      <rPr>
        <sz val="11"/>
        <rFont val="Noto Sans CJK SC"/>
        <family val="2"/>
      </rPr>
      <t xml:space="preserve">一次</t>
    </r>
    <r>
      <rPr>
        <sz val="11"/>
        <rFont val="Calibri"/>
        <family val="0"/>
        <charset val="1"/>
      </rPr>
      <t xml:space="preserve">PDF</t>
    </r>
    <r>
      <rPr>
        <sz val="11"/>
        <rFont val="Noto Sans CJK SC"/>
        <family val="2"/>
      </rPr>
      <t xml:space="preserve">保存必須。</t>
    </r>
  </si>
  <si>
    <t xml:space="preserve">S005</t>
  </si>
  <si>
    <t xml:space="preserve">DENSO sale of Toyota Industries shares and share forward agreement designed to limit market impact.</t>
  </si>
  <si>
    <t xml:space="preserve">S006</t>
  </si>
  <si>
    <t xml:space="preserve">Kaga Electronics ToSTNeT-3 buyback prompted by bank policy holding reduction.</t>
  </si>
  <si>
    <t xml:space="preserve">S007</t>
  </si>
  <si>
    <t xml:space="preserve">Nintendo secondary offering and sellers.</t>
  </si>
  <si>
    <t xml:space="preserve">S008</t>
  </si>
  <si>
    <t xml:space="preserve">Nintendo ToSTNeT-3 buyback authorization.</t>
  </si>
  <si>
    <t xml:space="preserve">S009</t>
  </si>
  <si>
    <t xml:space="preserve">DeNA sale into Nintendo ToSTNeT-3 buyback and reduction of planned offering shares.</t>
  </si>
  <si>
    <r>
      <rPr>
        <sz val="11"/>
        <rFont val="Calibri"/>
        <family val="0"/>
        <charset val="1"/>
      </rPr>
      <t xml:space="preserve">Yahoo CDN</t>
    </r>
    <r>
      <rPr>
        <sz val="11"/>
        <rFont val="Noto Sans CJK SC"/>
        <family val="2"/>
      </rPr>
      <t xml:space="preserve">直リンク。一次</t>
    </r>
    <r>
      <rPr>
        <sz val="11"/>
        <rFont val="Calibri"/>
        <family val="0"/>
        <charset val="1"/>
      </rPr>
      <t xml:space="preserve">PDF</t>
    </r>
    <r>
      <rPr>
        <sz val="11"/>
        <rFont val="Noto Sans CJK SC"/>
        <family val="2"/>
      </rPr>
      <t xml:space="preserve">保存必須。</t>
    </r>
  </si>
  <si>
    <t xml:space="preserve">S010</t>
  </si>
  <si>
    <t xml:space="preserve">Reuters</t>
  </si>
  <si>
    <t xml:space="preserve">https://www.reuters.com/sustainability/sustainable-finance-reporting/nintendo-plans-around-19-billion-share-sale-by-kyoto-bank-others-sources-say-2026-02-27/</t>
  </si>
  <si>
    <t xml:space="preserve">Reuters estimate of Nintendo share sale value and context of strategic shareholding unwind.</t>
  </si>
  <si>
    <t xml:space="preserve">S011</t>
  </si>
  <si>
    <t xml:space="preserve">https://www.nintendo.co.jp/ir/pdf/2026/security_q2603.pdf</t>
  </si>
  <si>
    <r>
      <rPr>
        <sz val="11"/>
        <rFont val="Calibri"/>
        <family val="0"/>
        <charset val="1"/>
      </rPr>
      <t xml:space="preserve">Nintendo FY2026/3</t>
    </r>
    <r>
      <rPr>
        <sz val="11"/>
        <rFont val="Noto Sans CJK SC"/>
        <family val="2"/>
      </rPr>
      <t xml:space="preserve">有報</t>
    </r>
    <r>
      <rPr>
        <sz val="11"/>
        <rFont val="Calibri"/>
        <family val="0"/>
        <charset val="1"/>
      </rPr>
      <t xml:space="preserve">: </t>
    </r>
    <r>
      <rPr>
        <sz val="11"/>
        <rFont val="Noto Sans CJK SC"/>
        <family val="2"/>
      </rPr>
      <t xml:space="preserve">自己株式</t>
    </r>
    <r>
      <rPr>
        <sz val="11"/>
        <rFont val="Calibri"/>
        <family val="0"/>
        <charset val="1"/>
      </rPr>
      <t xml:space="preserve">11,430,000</t>
    </r>
    <r>
      <rPr>
        <sz val="11"/>
        <rFont val="Noto Sans CJK SC"/>
        <family val="2"/>
      </rPr>
      <t xml:space="preserve">株の取得・消却実績</t>
    </r>
    <r>
      <rPr>
        <sz val="11"/>
        <rFont val="Calibri"/>
        <family val="0"/>
        <charset val="1"/>
      </rPr>
      <t xml:space="preserve">(G008 L002</t>
    </r>
    <r>
      <rPr>
        <sz val="11"/>
        <rFont val="Noto Sans CJK SC"/>
        <family val="2"/>
      </rPr>
      <t xml:space="preserve">の裏付け</t>
    </r>
    <r>
      <rPr>
        <sz val="11"/>
        <rFont val="Calibri"/>
        <family val="0"/>
        <charset val="1"/>
      </rPr>
      <t xml:space="preserve">)</t>
    </r>
  </si>
  <si>
    <t xml:space="preserve">False</t>
  </si>
  <si>
    <t xml:space="preserve">S012</t>
  </si>
  <si>
    <r>
      <rPr>
        <sz val="11"/>
        <rFont val="Calibri"/>
        <family val="0"/>
        <charset val="1"/>
      </rPr>
      <t xml:space="preserve">The Pack </t>
    </r>
    <r>
      <rPr>
        <sz val="11"/>
        <rFont val="Noto Sans CJK SC"/>
        <family val="2"/>
      </rPr>
      <t xml:space="preserve">売出し・買付支援の一次開示</t>
    </r>
    <r>
      <rPr>
        <sz val="11"/>
        <rFont val="Calibri"/>
        <family val="0"/>
        <charset val="1"/>
      </rPr>
      <t xml:space="preserve">(G006)</t>
    </r>
  </si>
  <si>
    <t xml:space="preserve">S013</t>
  </si>
  <si>
    <r>
      <rPr>
        <sz val="11"/>
        <rFont val="Calibri"/>
        <family val="0"/>
        <charset val="1"/>
      </rPr>
      <t xml:space="preserve">Daikyo Nishikawa </t>
    </r>
    <r>
      <rPr>
        <sz val="11"/>
        <rFont val="Noto Sans CJK SC"/>
        <family val="2"/>
      </rPr>
      <t xml:space="preserve">売出し一次開示</t>
    </r>
    <r>
      <rPr>
        <sz val="11"/>
        <rFont val="Calibri"/>
        <family val="0"/>
        <charset val="1"/>
      </rPr>
      <t xml:space="preserve">(G007)</t>
    </r>
  </si>
  <si>
    <t xml:space="preserve">S014</t>
  </si>
  <si>
    <r>
      <rPr>
        <sz val="11"/>
        <rFont val="Calibri"/>
        <family val="0"/>
        <charset val="1"/>
      </rPr>
      <t xml:space="preserve">DENSO</t>
    </r>
    <r>
      <rPr>
        <sz val="11"/>
        <rFont val="Noto Sans CJK SC"/>
        <family val="2"/>
      </rPr>
      <t xml:space="preserve">売出しへの</t>
    </r>
    <r>
      <rPr>
        <sz val="11"/>
        <rFont val="Calibri"/>
        <family val="0"/>
        <charset val="1"/>
      </rPr>
      <t xml:space="preserve">Toyota Industries</t>
    </r>
    <r>
      <rPr>
        <sz val="11"/>
        <rFont val="Noto Sans CJK SC"/>
        <family val="2"/>
      </rPr>
      <t xml:space="preserve">参加表明</t>
    </r>
    <r>
      <rPr>
        <sz val="11"/>
        <rFont val="Calibri"/>
        <family val="0"/>
        <charset val="1"/>
      </rPr>
      <t xml:space="preserve">(G001)</t>
    </r>
  </si>
  <si>
    <t xml:space="preserve">S015</t>
  </si>
  <si>
    <r>
      <rPr>
        <sz val="11"/>
        <rFont val="Calibri"/>
        <family val="0"/>
        <charset val="1"/>
      </rPr>
      <t xml:space="preserve">Aisin</t>
    </r>
    <r>
      <rPr>
        <sz val="11"/>
        <rFont val="Noto Sans CJK SC"/>
        <family val="2"/>
      </rPr>
      <t xml:space="preserve">売出し規模の報道</t>
    </r>
    <r>
      <rPr>
        <sz val="11"/>
        <rFont val="Calibri"/>
        <family val="0"/>
        <charset val="1"/>
      </rPr>
      <t xml:space="preserve">(G003 secondary)</t>
    </r>
  </si>
  <si>
    <r>
      <rPr>
        <sz val="11"/>
        <rFont val="Calibri"/>
        <family val="0"/>
        <charset val="1"/>
      </rPr>
      <t xml:space="preserve">paywall/robots</t>
    </r>
    <r>
      <rPr>
        <sz val="11"/>
        <rFont val="Noto Sans CJK SC"/>
        <family val="2"/>
      </rPr>
      <t xml:space="preserve">で自動保存不可の可能性</t>
    </r>
  </si>
  <si>
    <t xml:space="preserve">S016</t>
  </si>
  <si>
    <r>
      <rPr>
        <sz val="11"/>
        <rFont val="Calibri"/>
        <family val="0"/>
        <charset val="1"/>
      </rPr>
      <t xml:space="preserve">Honda</t>
    </r>
    <r>
      <rPr>
        <sz val="11"/>
        <rFont val="Noto Sans CJK SC"/>
        <family val="2"/>
      </rPr>
      <t xml:space="preserve">売出し規模の報道</t>
    </r>
    <r>
      <rPr>
        <sz val="11"/>
        <rFont val="Calibri"/>
        <family val="0"/>
        <charset val="1"/>
      </rPr>
      <t xml:space="preserve">(G004 secondary)</t>
    </r>
  </si>
  <si>
    <t xml:space="preserve">S017</t>
  </si>
  <si>
    <r>
      <rPr>
        <sz val="11"/>
        <rFont val="Calibri"/>
        <family val="0"/>
        <charset val="1"/>
      </rPr>
      <t xml:space="preserve">DeNA</t>
    </r>
    <r>
      <rPr>
        <sz val="11"/>
        <rFont val="Noto Sans CJK SC"/>
        <family val="2"/>
      </rPr>
      <t xml:space="preserve">応募・売出株数減少の開示</t>
    </r>
    <r>
      <rPr>
        <sz val="11"/>
        <rFont val="Calibri"/>
        <family val="0"/>
        <charset val="1"/>
      </rPr>
      <t xml:space="preserve">PDF</t>
    </r>
    <r>
      <rPr>
        <sz val="11"/>
        <rFont val="Noto Sans CJK SC"/>
        <family val="2"/>
      </rPr>
      <t xml:space="preserve">控え</t>
    </r>
    <r>
      <rPr>
        <sz val="11"/>
        <rFont val="Calibri"/>
        <family val="0"/>
        <charset val="1"/>
      </rPr>
      <t xml:space="preserve">(G008 L002 secondary)</t>
    </r>
  </si>
  <si>
    <r>
      <rPr>
        <sz val="11"/>
        <rFont val="Calibri"/>
        <family val="0"/>
        <charset val="1"/>
      </rPr>
      <t xml:space="preserve">Yahoo CDN</t>
    </r>
    <r>
      <rPr>
        <sz val="11"/>
        <rFont val="Noto Sans CJK SC"/>
        <family val="2"/>
      </rPr>
      <t xml:space="preserve">直リンク。一次</t>
    </r>
    <r>
      <rPr>
        <sz val="11"/>
        <rFont val="Calibri"/>
        <family val="0"/>
        <charset val="1"/>
      </rPr>
      <t xml:space="preserve">PDF</t>
    </r>
    <r>
      <rPr>
        <sz val="11"/>
        <rFont val="Noto Sans CJK SC"/>
        <family val="2"/>
      </rPr>
      <t xml:space="preserve">保存必須</t>
    </r>
  </si>
  <si>
    <t xml:space="preserve">改修日</t>
  </si>
  <si>
    <t xml:space="preserve">目的</t>
  </si>
  <si>
    <t xml:space="preserve">政策保有株式の解消・売却イベントを、売却構造・吸収/支援パッケージ・流動性制約・価格影響に分解して記録するための台帳。</t>
  </si>
  <si>
    <r>
      <rPr>
        <b val="true"/>
        <sz val="11"/>
        <color rgb="FF1F4E78"/>
        <rFont val="Calibri"/>
        <family val="0"/>
        <charset val="1"/>
      </rPr>
      <t xml:space="preserve">v0.2</t>
    </r>
    <r>
      <rPr>
        <b val="true"/>
        <sz val="11"/>
        <color rgb="FF1F4E78"/>
        <rFont val="Noto Sans CJK SC"/>
        <family val="2"/>
      </rPr>
      <t xml:space="preserve">方針</t>
    </r>
  </si>
  <si>
    <t xml:space="preserve">データ創作禁止。指示書に明記された値と既存v0.1の値のみ保持し、不明値は空欄＋notesで理由を記録する。Web取得・外部データ追加なし。</t>
  </si>
  <si>
    <t xml:space="preserve">イベント単位</t>
  </si>
  <si>
    <r>
      <rPr>
        <sz val="11"/>
        <rFont val="Calibri"/>
        <family val="0"/>
        <charset val="1"/>
      </rPr>
      <t xml:space="preserve">1</t>
    </r>
    <r>
      <rPr>
        <sz val="11"/>
        <rFont val="Noto Sans CJK SC"/>
        <family val="2"/>
      </rPr>
      <t xml:space="preserve">行</t>
    </r>
    <r>
      <rPr>
        <sz val="11"/>
        <rFont val="Calibri"/>
        <family val="0"/>
        <charset val="1"/>
      </rPr>
      <t xml:space="preserve">=issuer × route × tranche/leg</t>
    </r>
    <r>
      <rPr>
        <sz val="11"/>
        <rFont val="Noto Sans CJK SC"/>
        <family val="2"/>
      </rPr>
      <t xml:space="preserve">。親イベント</t>
    </r>
    <r>
      <rPr>
        <sz val="11"/>
        <rFont val="Calibri"/>
        <family val="0"/>
        <charset val="1"/>
      </rPr>
      <t xml:space="preserve">event_group_id</t>
    </r>
    <r>
      <rPr>
        <sz val="11"/>
        <rFont val="Noto Sans CJK SC"/>
        <family val="2"/>
      </rPr>
      <t xml:space="preserve">と子イベント</t>
    </r>
    <r>
      <rPr>
        <sz val="11"/>
        <rFont val="Calibri"/>
        <family val="0"/>
        <charset val="1"/>
      </rPr>
      <t xml:space="preserve">event_leg_id</t>
    </r>
    <r>
      <rPr>
        <sz val="11"/>
        <rFont val="Noto Sans CJK SC"/>
        <family val="2"/>
      </rPr>
      <t xml:space="preserve">を分離。売主別分割はせず</t>
    </r>
    <r>
      <rPr>
        <sz val="11"/>
        <rFont val="Calibri"/>
        <family val="0"/>
        <charset val="1"/>
      </rPr>
      <t xml:space="preserve">seller_breakdown</t>
    </r>
    <r>
      <rPr>
        <sz val="11"/>
        <rFont val="Noto Sans CJK SC"/>
        <family val="2"/>
      </rPr>
      <t xml:space="preserve">に「名称</t>
    </r>
    <r>
      <rPr>
        <sz val="11"/>
        <rFont val="Calibri"/>
        <family val="0"/>
        <charset val="1"/>
      </rPr>
      <t xml:space="preserve">:</t>
    </r>
    <r>
      <rPr>
        <sz val="11"/>
        <rFont val="Noto Sans CJK SC"/>
        <family val="2"/>
      </rPr>
      <t xml:space="preserve">株数</t>
    </r>
    <r>
      <rPr>
        <sz val="11"/>
        <rFont val="Calibri"/>
        <family val="0"/>
        <charset val="1"/>
      </rPr>
      <t xml:space="preserve">;</t>
    </r>
    <r>
      <rPr>
        <sz val="11"/>
        <rFont val="Noto Sans CJK SC"/>
        <family val="2"/>
      </rPr>
      <t xml:space="preserve">」で記録する。</t>
    </r>
  </si>
  <si>
    <r>
      <rPr>
        <b val="true"/>
        <sz val="11"/>
        <color rgb="FF1F4E78"/>
        <rFont val="Calibri"/>
        <family val="0"/>
        <charset val="1"/>
      </rPr>
      <t xml:space="preserve">day0</t>
    </r>
    <r>
      <rPr>
        <b val="true"/>
        <sz val="11"/>
        <color rgb="FF1F4E78"/>
        <rFont val="Noto Sans CJK SC"/>
        <family val="2"/>
      </rPr>
      <t xml:space="preserve">規則</t>
    </r>
  </si>
  <si>
    <r>
      <rPr>
        <sz val="11"/>
        <rFont val="Calibri"/>
        <family val="0"/>
        <charset val="1"/>
      </rPr>
      <t xml:space="preserve">day 0 = </t>
    </r>
    <r>
      <rPr>
        <sz val="11"/>
        <rFont val="Noto Sans CJK SC"/>
        <family val="2"/>
      </rPr>
      <t xml:space="preserve">反応可能な最初の立会。</t>
    </r>
    <r>
      <rPr>
        <sz val="11"/>
        <rFont val="Calibri"/>
        <family val="0"/>
        <charset val="1"/>
      </rPr>
      <t xml:space="preserve">disclosure_time</t>
    </r>
    <r>
      <rPr>
        <sz val="11"/>
        <rFont val="Noto Sans CJK SC"/>
        <family val="2"/>
      </rPr>
      <t xml:space="preserve">と</t>
    </r>
    <r>
      <rPr>
        <sz val="11"/>
        <rFont val="Calibri"/>
        <family val="0"/>
        <charset val="1"/>
      </rPr>
      <t xml:space="preserve">after_close</t>
    </r>
    <r>
      <rPr>
        <sz val="11"/>
        <rFont val="Noto Sans CJK SC"/>
        <family val="2"/>
      </rPr>
      <t xml:space="preserve">を使い、引け後開示なら翌営業日を</t>
    </r>
    <r>
      <rPr>
        <sz val="11"/>
        <rFont val="Calibri"/>
        <family val="0"/>
        <charset val="1"/>
      </rPr>
      <t xml:space="preserve">day 0</t>
    </r>
    <r>
      <rPr>
        <sz val="11"/>
        <rFont val="Noto Sans CJK SC"/>
        <family val="2"/>
      </rPr>
      <t xml:space="preserve">とする。</t>
    </r>
  </si>
  <si>
    <t xml:space="preserve">分析方針</t>
  </si>
  <si>
    <t xml:space="preserve">まず構造タグ付きイベントTCAを作り、size/ADV・square-root・route/support FE・route choiceで説明できない残差パターンだけをABM候補にする。</t>
  </si>
  <si>
    <t xml:space="preserve">主分析サンプル</t>
  </si>
  <si>
    <r>
      <rPr>
        <sz val="11"/>
        <rFont val="Calibri"/>
        <family val="0"/>
        <charset val="1"/>
      </rPr>
      <t xml:space="preserve">Tier1_confirmed</t>
    </r>
    <r>
      <rPr>
        <sz val="11"/>
        <rFont val="Noto Sans CJK SC"/>
        <family val="2"/>
      </rPr>
      <t xml:space="preserve">かつ</t>
    </r>
    <r>
      <rPr>
        <sz val="11"/>
        <rFont val="Calibri"/>
        <family val="0"/>
        <charset val="1"/>
      </rPr>
      <t xml:space="preserve">confidence A/B</t>
    </r>
    <r>
      <rPr>
        <sz val="11"/>
        <rFont val="Noto Sans CJK SC"/>
        <family val="2"/>
      </rPr>
      <t xml:space="preserve">を主分析対象にする。</t>
    </r>
    <r>
      <rPr>
        <sz val="11"/>
        <rFont val="Calibri"/>
        <family val="0"/>
        <charset val="1"/>
      </rPr>
      <t xml:space="preserve">Tier2_candidate</t>
    </r>
    <r>
      <rPr>
        <sz val="11"/>
        <rFont val="Noto Sans CJK SC"/>
        <family val="2"/>
      </rPr>
      <t xml:space="preserve">は候補、</t>
    </r>
    <r>
      <rPr>
        <sz val="11"/>
        <rFont val="Calibri"/>
        <family val="0"/>
        <charset val="1"/>
      </rPr>
      <t xml:space="preserve">Tier3_overhang</t>
    </r>
    <r>
      <rPr>
        <sz val="11"/>
        <rFont val="Noto Sans CJK SC"/>
        <family val="2"/>
      </rPr>
      <t xml:space="preserve">は背景変数として扱う。</t>
    </r>
  </si>
  <si>
    <t xml:space="preserve">注意</t>
  </si>
  <si>
    <r>
      <rPr>
        <sz val="11"/>
        <rFont val="Calibri"/>
        <family val="0"/>
        <charset val="1"/>
      </rPr>
      <t xml:space="preserve">CAR</t>
    </r>
    <r>
      <rPr>
        <sz val="11"/>
        <rFont val="Noto Sans CJK SC"/>
        <family val="2"/>
      </rPr>
      <t xml:space="preserve">、</t>
    </r>
    <r>
      <rPr>
        <sz val="11"/>
        <rFont val="Calibri"/>
        <family val="0"/>
        <charset val="1"/>
      </rPr>
      <t xml:space="preserve">ADV</t>
    </r>
    <r>
      <rPr>
        <sz val="11"/>
        <rFont val="Noto Sans CJK SC"/>
        <family val="2"/>
      </rPr>
      <t xml:space="preserve">、</t>
    </r>
    <r>
      <rPr>
        <sz val="11"/>
        <rFont val="Calibri"/>
        <family val="0"/>
        <charset val="1"/>
      </rPr>
      <t xml:space="preserve">free float</t>
    </r>
    <r>
      <rPr>
        <sz val="11"/>
        <rFont val="Noto Sans CJK SC"/>
        <family val="2"/>
      </rPr>
      <t xml:space="preserve">、時価総額、</t>
    </r>
    <r>
      <rPr>
        <sz val="11"/>
        <rFont val="Calibri"/>
        <family val="0"/>
        <charset val="1"/>
      </rPr>
      <t xml:space="preserve">drift/recovery</t>
    </r>
    <r>
      <rPr>
        <sz val="11"/>
        <rFont val="Noto Sans CJK SC"/>
        <family val="2"/>
      </rPr>
      <t xml:space="preserve">等は価格データ取得後に入力・計算する。</t>
    </r>
    <r>
      <rPr>
        <sz val="11"/>
        <rFont val="Calibri"/>
        <family val="0"/>
        <charset val="1"/>
      </rPr>
      <t xml:space="preserve">v0.2</t>
    </r>
    <r>
      <rPr>
        <sz val="11"/>
        <rFont val="Noto Sans CJK SC"/>
        <family val="2"/>
      </rPr>
      <t xml:space="preserve">では価格系列取得を行っていない。</t>
    </r>
  </si>
  <si>
    <r>
      <rPr>
        <sz val="11"/>
        <rFont val="Calibri"/>
        <family val="0"/>
        <charset val="1"/>
      </rPr>
      <t xml:space="preserve">v0.3</t>
    </r>
    <r>
      <rPr>
        <sz val="11"/>
        <rFont val="Noto Sans CJK SC"/>
        <family val="2"/>
      </rPr>
      <t xml:space="preserve">改修</t>
    </r>
  </si>
  <si>
    <t xml:space="preserve">監査修正: シート名Event_Tape化、Dashboard数式復元、basisにannounced_total追加・全行付与、TRUE/FALSE表記統一、候補行に証券コード付与、任天堂L002を有報と突合(S011)、enumデータ検証と先頭列固定を追加</t>
  </si>
  <si>
    <r>
      <rPr>
        <sz val="11"/>
        <rFont val="Calibri"/>
        <family val="0"/>
        <charset val="1"/>
      </rPr>
      <t xml:space="preserve">v0.4</t>
    </r>
    <r>
      <rPr>
        <sz val="11"/>
        <rFont val="Noto Sans CJK SC"/>
        <family val="2"/>
      </rPr>
      <t xml:space="preserve">修復</t>
    </r>
  </si>
  <si>
    <r>
      <rPr>
        <sz val="11"/>
        <rFont val="Calibri"/>
        <family val="0"/>
        <charset val="1"/>
      </rPr>
      <t xml:space="preserve">v0.2</t>
    </r>
    <r>
      <rPr>
        <sz val="11"/>
        <rFont val="Noto Sans CJK SC"/>
        <family val="2"/>
      </rPr>
      <t xml:space="preserve">生成時のセル切り詰め</t>
    </r>
    <r>
      <rPr>
        <sz val="11"/>
        <rFont val="Calibri"/>
        <family val="0"/>
        <charset val="1"/>
      </rPr>
      <t xml:space="preserve">(80</t>
    </r>
    <r>
      <rPr>
        <sz val="11"/>
        <rFont val="Noto Sans CJK SC"/>
        <family val="2"/>
      </rPr>
      <t xml:space="preserve">字</t>
    </r>
    <r>
      <rPr>
        <sz val="11"/>
        <rFont val="Calibri"/>
        <family val="0"/>
        <charset val="1"/>
      </rPr>
      <t xml:space="preserve">+</t>
    </r>
    <r>
      <rPr>
        <sz val="11"/>
        <rFont val="Noto Sans CJK SC"/>
        <family val="2"/>
      </rPr>
      <t xml:space="preserve">『</t>
    </r>
    <r>
      <rPr>
        <sz val="11"/>
        <rFont val="Calibri"/>
        <family val="0"/>
        <charset val="1"/>
      </rPr>
      <t xml:space="preserve">...</t>
    </r>
    <r>
      <rPr>
        <sz val="11"/>
        <rFont val="Noto Sans CJK SC"/>
        <family val="2"/>
      </rPr>
      <t xml:space="preserve">』</t>
    </r>
    <r>
      <rPr>
        <sz val="11"/>
        <rFont val="Calibri"/>
        <family val="0"/>
        <charset val="1"/>
      </rPr>
      <t xml:space="preserve">)27</t>
    </r>
    <r>
      <rPr>
        <sz val="11"/>
        <rFont val="Noto Sans CJK SC"/>
        <family val="2"/>
      </rPr>
      <t xml:space="preserve">件を</t>
    </r>
    <r>
      <rPr>
        <sz val="11"/>
        <rFont val="Calibri"/>
        <family val="0"/>
        <charset val="1"/>
      </rPr>
      <t xml:space="preserve">v0.1</t>
    </r>
    <r>
      <rPr>
        <sz val="11"/>
        <rFont val="Noto Sans CJK SC"/>
        <family val="2"/>
      </rPr>
      <t xml:space="preserve">原本から復元。</t>
    </r>
    <r>
      <rPr>
        <sz val="11"/>
        <rFont val="Calibri"/>
        <family val="0"/>
        <charset val="1"/>
      </rPr>
      <t xml:space="preserve">Source_Log</t>
    </r>
    <r>
      <rPr>
        <sz val="11"/>
        <rFont val="Noto Sans CJK SC"/>
        <family val="2"/>
      </rPr>
      <t xml:space="preserve">に</t>
    </r>
    <r>
      <rPr>
        <sz val="11"/>
        <rFont val="Calibri"/>
        <family val="0"/>
        <charset val="1"/>
      </rPr>
      <t xml:space="preserve">S012-S017</t>
    </r>
    <r>
      <rPr>
        <sz val="11"/>
        <rFont val="Noto Sans CJK SC"/>
        <family val="2"/>
      </rPr>
      <t xml:space="preserve">を追加し、</t>
    </r>
    <r>
      <rPr>
        <sz val="11"/>
        <rFont val="Calibri"/>
        <family val="0"/>
        <charset val="1"/>
      </rPr>
      <t xml:space="preserve">legs</t>
    </r>
    <r>
      <rPr>
        <sz val="11"/>
        <rFont val="Noto Sans CJK SC"/>
        <family val="2"/>
      </rPr>
      <t xml:space="preserve">上の全</t>
    </r>
    <r>
      <rPr>
        <sz val="11"/>
        <rFont val="Calibri"/>
        <family val="0"/>
        <charset val="1"/>
      </rPr>
      <t xml:space="preserve">URL</t>
    </r>
    <r>
      <rPr>
        <sz val="11"/>
        <rFont val="Noto Sans CJK SC"/>
        <family val="2"/>
      </rPr>
      <t xml:space="preserve">を</t>
    </r>
    <r>
      <rPr>
        <sz val="11"/>
        <rFont val="Calibri"/>
        <family val="0"/>
        <charset val="1"/>
      </rPr>
      <t xml:space="preserve">Source_Log</t>
    </r>
    <r>
      <rPr>
        <sz val="11"/>
        <rFont val="Noto Sans CJK SC"/>
        <family val="2"/>
      </rPr>
      <t xml:space="preserve">登録済みに</t>
    </r>
  </si>
  <si>
    <t xml:space="preserve">Sampling_Frame v0.2 draft</t>
  </si>
  <si>
    <t xml:space="preserve">period_start</t>
  </si>
  <si>
    <t xml:space="preserve">2023-01-01</t>
  </si>
  <si>
    <t xml:space="preserve">period_end</t>
  </si>
  <si>
    <t xml:space="preserve">2026-06-30</t>
  </si>
  <si>
    <t xml:space="preserve">population_candidate_1</t>
  </si>
  <si>
    <r>
      <rPr>
        <sz val="11"/>
        <rFont val="Calibri"/>
        <family val="0"/>
        <charset val="1"/>
      </rPr>
      <t xml:space="preserve">TDnet</t>
    </r>
    <r>
      <rPr>
        <sz val="11"/>
        <rFont val="Noto Sans CJK SC"/>
        <family val="2"/>
      </rPr>
      <t xml:space="preserve">開示の「株式の売出し」</t>
    </r>
    <r>
      <rPr>
        <sz val="11"/>
        <rFont val="Calibri"/>
        <family val="0"/>
        <charset val="1"/>
      </rPr>
      <t xml:space="preserve">× </t>
    </r>
    <r>
      <rPr>
        <sz val="11"/>
        <rFont val="Noto Sans CJK SC"/>
        <family val="2"/>
      </rPr>
      <t xml:space="preserve">政策保有・持ち合い関連キーワード</t>
    </r>
  </si>
  <si>
    <t xml:space="preserve">population_candidate_2</t>
  </si>
  <si>
    <r>
      <rPr>
        <sz val="11"/>
        <rFont val="Calibri"/>
        <family val="0"/>
        <charset val="1"/>
      </rPr>
      <t xml:space="preserve">TDnet</t>
    </r>
    <r>
      <rPr>
        <sz val="11"/>
        <rFont val="Noto Sans CJK SC"/>
        <family val="2"/>
      </rPr>
      <t xml:space="preserve">開示の「自己株式の取得</t>
    </r>
    <r>
      <rPr>
        <sz val="11"/>
        <rFont val="Calibri"/>
        <family val="0"/>
        <charset val="1"/>
      </rPr>
      <t xml:space="preserve">(ToSTNeT-3</t>
    </r>
    <r>
      <rPr>
        <sz val="11"/>
        <rFont val="Noto Sans CJK SC"/>
        <family val="2"/>
      </rPr>
      <t xml:space="preserve">含む</t>
    </r>
    <r>
      <rPr>
        <sz val="11"/>
        <rFont val="Calibri"/>
        <family val="0"/>
        <charset val="1"/>
      </rPr>
      <t xml:space="preserve">)</t>
    </r>
    <r>
      <rPr>
        <sz val="11"/>
        <rFont val="Noto Sans CJK SC"/>
        <family val="2"/>
      </rPr>
      <t xml:space="preserve">」</t>
    </r>
    <r>
      <rPr>
        <sz val="11"/>
        <rFont val="Calibri"/>
        <family val="0"/>
        <charset val="1"/>
      </rPr>
      <t xml:space="preserve">× </t>
    </r>
    <r>
      <rPr>
        <sz val="11"/>
        <rFont val="Noto Sans CJK SC"/>
        <family val="2"/>
      </rPr>
      <t xml:space="preserve">政策保有・持ち合い関連キーワード</t>
    </r>
  </si>
  <si>
    <t xml:space="preserve">population_candidate_3</t>
  </si>
  <si>
    <r>
      <rPr>
        <sz val="11"/>
        <rFont val="Calibri"/>
        <family val="0"/>
        <charset val="1"/>
      </rPr>
      <t xml:space="preserve">TDnet</t>
    </r>
    <r>
      <rPr>
        <sz val="11"/>
        <rFont val="Noto Sans CJK SC"/>
        <family val="2"/>
      </rPr>
      <t xml:space="preserve">開示の「自己株式の公開買付け」</t>
    </r>
    <r>
      <rPr>
        <sz val="11"/>
        <rFont val="Calibri"/>
        <family val="0"/>
        <charset val="1"/>
      </rPr>
      <t xml:space="preserve">× </t>
    </r>
    <r>
      <rPr>
        <sz val="11"/>
        <rFont val="Noto Sans CJK SC"/>
        <family val="2"/>
      </rPr>
      <t xml:space="preserve">政策保有・持ち合い関連キーワード</t>
    </r>
  </si>
  <si>
    <t xml:space="preserve">population_candidate_4</t>
  </si>
  <si>
    <r>
      <rPr>
        <sz val="11"/>
        <rFont val="Calibri"/>
        <family val="0"/>
        <charset val="1"/>
      </rPr>
      <t xml:space="preserve">EDINET</t>
    </r>
    <r>
      <rPr>
        <sz val="11"/>
        <rFont val="Noto Sans CJK SC"/>
        <family val="2"/>
      </rPr>
      <t xml:space="preserve">変更報告書</t>
    </r>
  </si>
  <si>
    <t xml:space="preserve">population_candidate_5</t>
  </si>
  <si>
    <t xml:space="preserve">有価証券報告書の特定投資株式テーブルの年次差分</t>
  </si>
  <si>
    <t xml:space="preserve">exclude_candidate_1</t>
  </si>
  <si>
    <t xml:space="preserve">新株発行を伴う公募</t>
  </si>
  <si>
    <t xml:space="preserve">exclude_candidate_2</t>
  </si>
  <si>
    <t xml:space="preserve">非公開化TOB</t>
  </si>
  <si>
    <t xml:space="preserve">ドラフト。母集団定義の確定はユーザーが行う。</t>
  </si>
  <si>
    <t xml:space="preserve">change_id</t>
  </si>
  <si>
    <t xml:space="preserve">sheet</t>
  </si>
  <si>
    <t xml:space="preserve">cell_or_range</t>
  </si>
  <si>
    <t xml:space="preserve">change_type</t>
  </si>
  <si>
    <t xml:space="preserve">details</t>
  </si>
  <si>
    <t xml:space="preserve">reason/instruction</t>
  </si>
  <si>
    <t xml:space="preserve">C001</t>
  </si>
  <si>
    <t xml:space="preserve">Event_Tape_v0.1</t>
  </si>
  <si>
    <t xml:space="preserve">Header row A1:BQ1</t>
  </si>
  <si>
    <t xml:space="preserve">schema_add</t>
  </si>
  <si>
    <r>
      <rPr>
        <sz val="11"/>
        <rFont val="Calibri"/>
        <family val="0"/>
        <charset val="1"/>
      </rPr>
      <t xml:space="preserve">disclosure_time, after_close, quantity_basis, value_basis, initial_offer_shares, final_offer_shares, OA_exercised_shares, buyback_cancellation, lockup_days, lead_underwriter, seller_breakdown, activist_pressure, drift_ann_to_pricing, recovery_60d </t>
    </r>
    <r>
      <rPr>
        <sz val="11"/>
        <rFont val="Noto Sans CJK SC"/>
        <family val="2"/>
      </rPr>
      <t xml:space="preserve">を追加</t>
    </r>
  </si>
  <si>
    <t xml:space="preserve">変更1</t>
  </si>
  <si>
    <t xml:space="preserve">C002</t>
  </si>
  <si>
    <t xml:space="preserve">G005 / L001</t>
  </si>
  <si>
    <t xml:space="preserve">row_correction</t>
  </si>
  <si>
    <r>
      <rPr>
        <sz val="11"/>
        <rFont val="Calibri"/>
        <family val="0"/>
        <charset val="1"/>
      </rPr>
      <t xml:space="preserve">value_basis=resolution_max, quantity_basis=resolution_max, sold_value_JPY=150</t>
    </r>
    <r>
      <rPr>
        <sz val="11"/>
        <rFont val="Noto Sans CJK SC"/>
        <family val="2"/>
      </rPr>
      <t xml:space="preserve">億円を決議上限として保持。</t>
    </r>
    <r>
      <rPr>
        <sz val="11"/>
        <rFont val="Calibri"/>
        <family val="0"/>
        <charset val="1"/>
      </rPr>
      <t xml:space="preserve">notes</t>
    </r>
    <r>
      <rPr>
        <sz val="11"/>
        <rFont val="Noto Sans CJK SC"/>
        <family val="2"/>
      </rPr>
      <t xml:space="preserve">に</t>
    </r>
    <r>
      <rPr>
        <sz val="11"/>
        <rFont val="Calibri"/>
        <family val="0"/>
        <charset val="1"/>
      </rPr>
      <t xml:space="preserve">4,920,000</t>
    </r>
    <r>
      <rPr>
        <sz val="11"/>
        <rFont val="Noto Sans CJK SC"/>
        <family val="2"/>
      </rPr>
      <t xml:space="preserve">株</t>
    </r>
    <r>
      <rPr>
        <sz val="11"/>
        <rFont val="Calibri"/>
        <family val="0"/>
        <charset val="1"/>
      </rPr>
      <t xml:space="preserve">×2,938</t>
    </r>
    <r>
      <rPr>
        <sz val="11"/>
        <rFont val="Noto Sans CJK SC"/>
        <family val="2"/>
      </rPr>
      <t xml:space="preserve">円</t>
    </r>
    <r>
      <rPr>
        <sz val="11"/>
        <rFont val="Calibri"/>
        <family val="0"/>
        <charset val="1"/>
      </rPr>
      <t xml:space="preserve">=</t>
    </r>
    <r>
      <rPr>
        <sz val="11"/>
        <rFont val="Noto Sans CJK SC"/>
        <family val="2"/>
      </rPr>
      <t xml:space="preserve">約</t>
    </r>
    <r>
      <rPr>
        <sz val="11"/>
        <rFont val="Calibri"/>
        <family val="0"/>
        <charset val="1"/>
      </rPr>
      <t xml:space="preserve">144.5</t>
    </r>
    <r>
      <rPr>
        <sz val="11"/>
        <rFont val="Noto Sans CJK SC"/>
        <family val="2"/>
      </rPr>
      <t xml:space="preserve">億円および実績</t>
    </r>
    <r>
      <rPr>
        <sz val="11"/>
        <rFont val="Calibri"/>
        <family val="0"/>
        <charset val="1"/>
      </rPr>
      <t xml:space="preserve">leg</t>
    </r>
    <r>
      <rPr>
        <sz val="11"/>
        <rFont val="Noto Sans CJK SC"/>
        <family val="2"/>
      </rPr>
      <t xml:space="preserve">追加予定を記載</t>
    </r>
  </si>
  <si>
    <t xml:space="preserve">変更4</t>
  </si>
  <si>
    <t xml:space="preserve">C003</t>
  </si>
  <si>
    <t xml:space="preserve">G004 / L001</t>
  </si>
  <si>
    <r>
      <rPr>
        <sz val="11"/>
        <rFont val="Calibri"/>
        <family val="0"/>
        <charset val="1"/>
      </rPr>
      <t xml:space="preserve">value_basis=estimate_close_price</t>
    </r>
    <r>
      <rPr>
        <sz val="11"/>
        <rFont val="Noto Sans CJK SC"/>
        <family val="2"/>
      </rPr>
      <t xml:space="preserve">。</t>
    </r>
    <r>
      <rPr>
        <sz val="11"/>
        <rFont val="Calibri"/>
        <family val="0"/>
        <charset val="1"/>
      </rPr>
      <t xml:space="preserve">notes</t>
    </r>
    <r>
      <rPr>
        <sz val="11"/>
        <rFont val="Noto Sans CJK SC"/>
        <family val="2"/>
      </rPr>
      <t xml:space="preserve">に</t>
    </r>
    <r>
      <rPr>
        <sz val="11"/>
        <rFont val="Calibri"/>
        <family val="0"/>
        <charset val="1"/>
      </rPr>
      <t xml:space="preserve">Reuters</t>
    </r>
    <r>
      <rPr>
        <sz val="11"/>
        <rFont val="Noto Sans CJK SC"/>
        <family val="2"/>
      </rPr>
      <t xml:space="preserve">推定値である旨を追記</t>
    </r>
  </si>
  <si>
    <t xml:space="preserve">C004</t>
  </si>
  <si>
    <t xml:space="preserve">G008 / L001</t>
  </si>
  <si>
    <r>
      <rPr>
        <sz val="11"/>
        <rFont val="Calibri"/>
        <family val="0"/>
        <charset val="1"/>
      </rPr>
      <t xml:space="preserve">disclosure_time=15:40, after_close=TRUE, seller_breakdown</t>
    </r>
    <r>
      <rPr>
        <sz val="11"/>
        <rFont val="Noto Sans CJK SC"/>
        <family val="2"/>
      </rPr>
      <t xml:space="preserve">を指定値で入力</t>
    </r>
    <r>
      <rPr>
        <sz val="11"/>
        <rFont val="Calibri"/>
        <family val="0"/>
        <charset val="1"/>
      </rPr>
      <t xml:space="preserve">, initial_offer_shares=32,697,900, buyback_size_shares=14,000,000, buyback_value_JPY=1,000</t>
    </r>
    <r>
      <rPr>
        <sz val="11"/>
        <rFont val="Noto Sans CJK SC"/>
        <family val="2"/>
      </rPr>
      <t xml:space="preserve">億円</t>
    </r>
    <r>
      <rPr>
        <sz val="11"/>
        <rFont val="Calibri"/>
        <family val="0"/>
        <charset val="1"/>
      </rPr>
      <t xml:space="preserve">, buyback_window=2026-03-03 to 2026-03-04, buyback_cancellation=TRUE, activist_pressure=TRUE</t>
    </r>
  </si>
  <si>
    <t xml:space="preserve">C005</t>
  </si>
  <si>
    <t xml:space="preserve">G008 / L001 route_notes/notes</t>
  </si>
  <si>
    <t xml:space="preserve">text_sync</t>
  </si>
  <si>
    <t xml:space="preserve">条件決定期間2026-03-09〜2026-03-12、自己株取得に伴い買取引受・OAの売出株式数が減少し得る旨、DeNA売却背景の旧村上系アクティビスト関与報道を追記</t>
  </si>
  <si>
    <t xml:space="preserve">C006</t>
  </si>
  <si>
    <t xml:space="preserve">G009:G011</t>
  </si>
  <si>
    <t xml:space="preserve">row_add</t>
  </si>
  <si>
    <t xml:space="preserve">信越化学、イビデン、ニチレイをTier2_candidate/status=candidateで追加。数値欄は空欄、notes=要一次資料</t>
  </si>
  <si>
    <t xml:space="preserve">変更5</t>
  </si>
  <si>
    <t xml:space="preserve">C007</t>
  </si>
  <si>
    <t xml:space="preserve">Lists</t>
  </si>
  <si>
    <t xml:space="preserve">A1:L10</t>
  </si>
  <si>
    <t xml:space="preserve">sheet_rebuild</t>
  </si>
  <si>
    <r>
      <rPr>
        <sz val="11"/>
        <rFont val="Calibri"/>
        <family val="0"/>
        <charset val="1"/>
      </rPr>
      <t xml:space="preserve">1</t>
    </r>
    <r>
      <rPr>
        <sz val="11"/>
        <rFont val="Noto Sans CJK SC"/>
        <family val="2"/>
      </rPr>
      <t xml:space="preserve">フィールド</t>
    </r>
    <r>
      <rPr>
        <sz val="11"/>
        <rFont val="Calibri"/>
        <family val="0"/>
        <charset val="1"/>
      </rPr>
      <t xml:space="preserve">=1</t>
    </r>
    <r>
      <rPr>
        <sz val="11"/>
        <rFont val="Noto Sans CJK SC"/>
        <family val="2"/>
      </rPr>
      <t xml:space="preserve">列、先頭行</t>
    </r>
    <r>
      <rPr>
        <sz val="11"/>
        <rFont val="Calibri"/>
        <family val="0"/>
        <charset val="1"/>
      </rPr>
      <t xml:space="preserve">=</t>
    </r>
    <r>
      <rPr>
        <sz val="11"/>
        <rFont val="Noto Sans CJK SC"/>
        <family val="2"/>
      </rPr>
      <t xml:space="preserve">フィールド名に再構成。新</t>
    </r>
    <r>
      <rPr>
        <sz val="11"/>
        <rFont val="Calibri"/>
        <family val="0"/>
        <charset val="1"/>
      </rPr>
      <t xml:space="preserve">enum</t>
    </r>
    <r>
      <rPr>
        <sz val="11"/>
        <rFont val="Noto Sans CJK SC"/>
        <family val="2"/>
      </rPr>
      <t xml:space="preserve">を追加し</t>
    </r>
    <r>
      <rPr>
        <sz val="11"/>
        <rFont val="Calibri"/>
        <family val="0"/>
        <charset val="1"/>
      </rPr>
      <t xml:space="preserve">Field_Dictionary</t>
    </r>
    <r>
      <rPr>
        <sz val="11"/>
        <rFont val="Noto Sans CJK SC"/>
        <family val="2"/>
      </rPr>
      <t xml:space="preserve">と同期</t>
    </r>
  </si>
  <si>
    <t xml:space="preserve">変更2</t>
  </si>
  <si>
    <t xml:space="preserve">C008</t>
  </si>
  <si>
    <t xml:space="preserve">Baseline_Spec</t>
  </si>
  <si>
    <t xml:space="preserve">Row 6 / Step 3.5</t>
  </si>
  <si>
    <t xml:space="preserve">row_insert</t>
  </si>
  <si>
    <t xml:space="preserve">選択関数 P(route | 観測量) の推定を追加。route係数は記述統計で因果効果ではないこと、ABM検証ターゲットを明記</t>
  </si>
  <si>
    <t xml:space="preserve">変更3</t>
  </si>
  <si>
    <t xml:space="preserve">C009</t>
  </si>
  <si>
    <t xml:space="preserve">Source_Log</t>
  </si>
  <si>
    <t xml:space="preserve">Header + S004/S009</t>
  </si>
  <si>
    <t xml:space="preserve">schema_add_and_notes</t>
  </si>
  <si>
    <r>
      <rPr>
        <sz val="11"/>
        <rFont val="Calibri"/>
        <family val="0"/>
        <charset val="1"/>
      </rPr>
      <t xml:space="preserve">archived</t>
    </r>
    <r>
      <rPr>
        <sz val="11"/>
        <rFont val="Noto Sans CJK SC"/>
        <family val="2"/>
      </rPr>
      <t xml:space="preserve">列を追加し全行</t>
    </r>
    <r>
      <rPr>
        <sz val="11"/>
        <rFont val="Calibri"/>
        <family val="0"/>
        <charset val="1"/>
      </rPr>
      <t xml:space="preserve">FALSE</t>
    </r>
    <r>
      <rPr>
        <sz val="11"/>
        <rFont val="Noto Sans CJK SC"/>
        <family val="2"/>
      </rPr>
      <t xml:space="preserve">で初期化。</t>
    </r>
    <r>
      <rPr>
        <sz val="11"/>
        <rFont val="Calibri"/>
        <family val="0"/>
        <charset val="1"/>
      </rPr>
      <t xml:space="preserve">Aisin URL</t>
    </r>
    <r>
      <rPr>
        <sz val="11"/>
        <rFont val="Noto Sans CJK SC"/>
        <family val="2"/>
      </rPr>
      <t xml:space="preserve">異常と</t>
    </r>
    <r>
      <rPr>
        <sz val="11"/>
        <rFont val="Calibri"/>
        <family val="0"/>
        <charset val="1"/>
      </rPr>
      <t xml:space="preserve">Yahoo CDN</t>
    </r>
    <r>
      <rPr>
        <sz val="11"/>
        <rFont val="Noto Sans CJK SC"/>
        <family val="2"/>
      </rPr>
      <t xml:space="preserve">直リンクに一次</t>
    </r>
    <r>
      <rPr>
        <sz val="11"/>
        <rFont val="Calibri"/>
        <family val="0"/>
        <charset val="1"/>
      </rPr>
      <t xml:space="preserve">PDF</t>
    </r>
    <r>
      <rPr>
        <sz val="11"/>
        <rFont val="Noto Sans CJK SC"/>
        <family val="2"/>
      </rPr>
      <t xml:space="preserve">保存必須メモを追加</t>
    </r>
  </si>
  <si>
    <t xml:space="preserve">C010</t>
  </si>
  <si>
    <t xml:space="preserve">Sampling_Frame</t>
  </si>
  <si>
    <t xml:space="preserve">New sheet</t>
  </si>
  <si>
    <t xml:space="preserve">sheet_add</t>
  </si>
  <si>
    <r>
      <rPr>
        <sz val="11"/>
        <rFont val="Calibri"/>
        <family val="0"/>
        <charset val="1"/>
      </rPr>
      <t xml:space="preserve">2023-01-01</t>
    </r>
    <r>
      <rPr>
        <sz val="11"/>
        <rFont val="Noto Sans CJK SC"/>
        <family val="2"/>
      </rPr>
      <t xml:space="preserve">〜</t>
    </r>
    <r>
      <rPr>
        <sz val="11"/>
        <rFont val="Calibri"/>
        <family val="0"/>
        <charset val="1"/>
      </rPr>
      <t xml:space="preserve">2026-06-30</t>
    </r>
    <r>
      <rPr>
        <sz val="11"/>
        <rFont val="Noto Sans CJK SC"/>
        <family val="2"/>
      </rPr>
      <t xml:space="preserve">の母集団定義ドラフトを追加</t>
    </r>
  </si>
  <si>
    <t xml:space="preserve">変更6</t>
  </si>
  <si>
    <t xml:space="preserve">C011</t>
  </si>
  <si>
    <t xml:space="preserve">README</t>
  </si>
  <si>
    <t xml:space="preserve">A1:B9</t>
  </si>
  <si>
    <t xml:space="preserve">doc_sync</t>
  </si>
  <si>
    <r>
      <rPr>
        <sz val="11"/>
        <rFont val="Calibri"/>
        <family val="0"/>
        <charset val="1"/>
      </rPr>
      <t xml:space="preserve">v0.2</t>
    </r>
    <r>
      <rPr>
        <sz val="11"/>
        <rFont val="Noto Sans CJK SC"/>
        <family val="2"/>
      </rPr>
      <t xml:space="preserve">方針、</t>
    </r>
    <r>
      <rPr>
        <sz val="11"/>
        <rFont val="Calibri"/>
        <family val="0"/>
        <charset val="1"/>
      </rPr>
      <t xml:space="preserve">day0</t>
    </r>
    <r>
      <rPr>
        <sz val="11"/>
        <rFont val="Noto Sans CJK SC"/>
        <family val="2"/>
      </rPr>
      <t xml:space="preserve">規則、サンプル方針、データ未取得方針を同期</t>
    </r>
  </si>
  <si>
    <t xml:space="preserve">変更7</t>
  </si>
  <si>
    <t xml:space="preserve">C012</t>
  </si>
  <si>
    <t xml:space="preserve">Field_Dictionary</t>
  </si>
  <si>
    <t xml:space="preserve">A1:D70</t>
  </si>
  <si>
    <r>
      <rPr>
        <sz val="11"/>
        <rFont val="Calibri"/>
        <family val="0"/>
        <charset val="1"/>
      </rPr>
      <t xml:space="preserve">Event_Tape</t>
    </r>
    <r>
      <rPr>
        <sz val="11"/>
        <rFont val="Noto Sans CJK SC"/>
        <family val="2"/>
      </rPr>
      <t xml:space="preserve">全</t>
    </r>
    <r>
      <rPr>
        <sz val="11"/>
        <rFont val="Calibri"/>
        <family val="0"/>
        <charset val="1"/>
      </rPr>
      <t xml:space="preserve">69</t>
    </r>
    <r>
      <rPr>
        <sz val="11"/>
        <rFont val="Noto Sans CJK SC"/>
        <family val="2"/>
      </rPr>
      <t xml:space="preserve">列の定義を追加し、</t>
    </r>
    <r>
      <rPr>
        <sz val="11"/>
        <rFont val="Calibri"/>
        <family val="0"/>
        <charset val="1"/>
      </rPr>
      <t xml:space="preserve">enum/</t>
    </r>
    <r>
      <rPr>
        <sz val="11"/>
        <rFont val="Noto Sans CJK SC"/>
        <family val="2"/>
      </rPr>
      <t xml:space="preserve">計算列</t>
    </r>
    <r>
      <rPr>
        <sz val="11"/>
        <rFont val="Calibri"/>
        <family val="0"/>
        <charset val="1"/>
      </rPr>
      <t xml:space="preserve">/day0</t>
    </r>
    <r>
      <rPr>
        <sz val="11"/>
        <rFont val="Noto Sans CJK SC"/>
        <family val="2"/>
      </rPr>
      <t xml:space="preserve">規則を同期</t>
    </r>
  </si>
  <si>
    <t xml:space="preserve">C013</t>
  </si>
  <si>
    <t xml:space="preserve">Changelog</t>
  </si>
  <si>
    <t xml:space="preserve">変更セル/範囲一覧を作成</t>
  </si>
  <si>
    <t xml:space="preserve">C014</t>
  </si>
  <si>
    <t xml:space="preserve">Event_Tape</t>
  </si>
  <si>
    <t xml:space="preserve">rename</t>
  </si>
  <si>
    <t xml:space="preserve">シート名をEvent_Tape_v0.1→Event_Tapeに変更(バージョンはワークブック側で管理)</t>
  </si>
  <si>
    <r>
      <rPr>
        <sz val="11"/>
        <rFont val="Calibri"/>
        <family val="0"/>
        <charset val="1"/>
      </rPr>
      <t xml:space="preserve">v0.3</t>
    </r>
    <r>
      <rPr>
        <sz val="11"/>
        <rFont val="Noto Sans CJK SC"/>
        <family val="2"/>
      </rPr>
      <t xml:space="preserve">監査</t>
    </r>
  </si>
  <si>
    <t xml:space="preserve">C015</t>
  </si>
  <si>
    <r>
      <rPr>
        <sz val="11"/>
        <rFont val="Calibri"/>
        <family val="0"/>
        <charset val="1"/>
      </rPr>
      <t xml:space="preserve">bool</t>
    </r>
    <r>
      <rPr>
        <sz val="11"/>
        <rFont val="Noto Sans CJK SC"/>
        <family val="2"/>
      </rPr>
      <t xml:space="preserve">列</t>
    </r>
  </si>
  <si>
    <t xml:space="preserve">normalize</t>
  </si>
  <si>
    <r>
      <rPr>
        <sz val="11"/>
        <rFont val="Calibri"/>
        <family val="0"/>
        <charset val="1"/>
      </rPr>
      <t xml:space="preserve">support_*/after_close/buyback_cancellation/activist_pressure</t>
    </r>
    <r>
      <rPr>
        <sz val="11"/>
        <rFont val="Noto Sans CJK SC"/>
        <family val="2"/>
      </rPr>
      <t xml:space="preserve">を</t>
    </r>
    <r>
      <rPr>
        <sz val="11"/>
        <rFont val="Calibri"/>
        <family val="0"/>
        <charset val="1"/>
      </rPr>
      <t xml:space="preserve">TRUE/FALSE</t>
    </r>
    <r>
      <rPr>
        <sz val="11"/>
        <rFont val="Noto Sans CJK SC"/>
        <family val="2"/>
      </rPr>
      <t xml:space="preserve">表記に統一</t>
    </r>
  </si>
  <si>
    <t xml:space="preserve">C016</t>
  </si>
  <si>
    <t xml:space="preserve">quantity/value_basis</t>
  </si>
  <si>
    <t xml:space="preserve">fill</t>
  </si>
  <si>
    <r>
      <rPr>
        <sz val="11"/>
        <rFont val="Calibri"/>
        <family val="0"/>
        <charset val="1"/>
      </rPr>
      <t xml:space="preserve">announced_total</t>
    </r>
    <r>
      <rPr>
        <sz val="11"/>
        <rFont val="Noto Sans CJK SC"/>
        <family val="2"/>
      </rPr>
      <t xml:space="preserve">を新設し</t>
    </r>
    <r>
      <rPr>
        <sz val="11"/>
        <rFont val="Calibri"/>
        <family val="0"/>
        <charset val="1"/>
      </rPr>
      <t xml:space="preserve">G002-G008</t>
    </r>
    <r>
      <rPr>
        <sz val="11"/>
        <rFont val="Noto Sans CJK SC"/>
        <family val="2"/>
      </rPr>
      <t xml:space="preserve">へ付与。</t>
    </r>
    <r>
      <rPr>
        <sz val="11"/>
        <rFont val="Calibri"/>
        <family val="0"/>
        <charset val="1"/>
      </rPr>
      <t xml:space="preserve">G008L001 value=estimate_close_price</t>
    </r>
    <r>
      <rPr>
        <sz val="11"/>
        <rFont val="Noto Sans CJK SC"/>
        <family val="2"/>
      </rPr>
      <t xml:space="preserve">、</t>
    </r>
    <r>
      <rPr>
        <sz val="11"/>
        <rFont val="Calibri"/>
        <family val="0"/>
        <charset val="1"/>
      </rPr>
      <t xml:space="preserve">L002=executed_actual</t>
    </r>
  </si>
  <si>
    <t xml:space="preserve">C017</t>
  </si>
  <si>
    <t xml:space="preserve">r8/r9/r10 notes</t>
  </si>
  <si>
    <t xml:space="preserve">append</t>
  </si>
  <si>
    <r>
      <rPr>
        <sz val="11"/>
        <rFont val="Calibri"/>
        <family val="0"/>
        <charset val="1"/>
      </rPr>
      <t xml:space="preserve">G007</t>
    </r>
    <r>
      <rPr>
        <sz val="11"/>
        <rFont val="Noto Sans CJK SC"/>
        <family val="2"/>
      </rPr>
      <t xml:space="preserve">金額根拠・</t>
    </r>
    <r>
      <rPr>
        <sz val="11"/>
        <rFont val="Calibri"/>
        <family val="0"/>
        <charset val="1"/>
      </rPr>
      <t xml:space="preserve">G008 OA</t>
    </r>
    <r>
      <rPr>
        <sz val="11"/>
        <rFont val="Noto Sans CJK SC"/>
        <family val="2"/>
      </rPr>
      <t xml:space="preserve">要確認・</t>
    </r>
    <r>
      <rPr>
        <sz val="11"/>
        <rFont val="Calibri"/>
        <family val="0"/>
        <charset val="1"/>
      </rPr>
      <t xml:space="preserve">L002</t>
    </r>
    <r>
      <rPr>
        <sz val="11"/>
        <rFont val="Noto Sans CJK SC"/>
        <family val="2"/>
      </rPr>
      <t xml:space="preserve">有報整合</t>
    </r>
    <r>
      <rPr>
        <sz val="11"/>
        <rFont val="Calibri"/>
        <family val="0"/>
        <charset val="1"/>
      </rPr>
      <t xml:space="preserve">(S011)</t>
    </r>
    <r>
      <rPr>
        <sz val="11"/>
        <rFont val="Noto Sans CJK SC"/>
        <family val="2"/>
      </rPr>
      <t xml:space="preserve">を注記</t>
    </r>
  </si>
  <si>
    <t xml:space="preserve">C018</t>
  </si>
  <si>
    <t xml:space="preserve">r11-r13</t>
  </si>
  <si>
    <t xml:space="preserve">候補行に証券コード(4063/4062/2871)・市場・報道コンテキストを追加。数値欄は空欄のまま</t>
  </si>
  <si>
    <t xml:space="preserve">C019</t>
  </si>
  <si>
    <t xml:space="preserve">add</t>
  </si>
  <si>
    <r>
      <rPr>
        <sz val="11"/>
        <rFont val="Calibri"/>
        <family val="0"/>
        <charset val="1"/>
      </rPr>
      <t xml:space="preserve">announced_total</t>
    </r>
    <r>
      <rPr>
        <sz val="11"/>
        <rFont val="Noto Sans CJK SC"/>
        <family val="2"/>
      </rPr>
      <t xml:space="preserve">を追加</t>
    </r>
  </si>
  <si>
    <t xml:space="preserve">C020</t>
  </si>
  <si>
    <r>
      <rPr>
        <sz val="11"/>
        <rFont val="Calibri"/>
        <family val="0"/>
        <charset val="1"/>
      </rPr>
      <t xml:space="preserve">basis</t>
    </r>
    <r>
      <rPr>
        <sz val="11"/>
        <rFont val="Noto Sans CJK SC"/>
        <family val="2"/>
      </rPr>
      <t xml:space="preserve">行</t>
    </r>
  </si>
  <si>
    <t xml:space="preserve">update</t>
  </si>
  <si>
    <r>
      <rPr>
        <sz val="11"/>
        <rFont val="Calibri"/>
        <family val="0"/>
        <charset val="1"/>
      </rPr>
      <t xml:space="preserve">basis</t>
    </r>
    <r>
      <rPr>
        <sz val="11"/>
        <rFont val="Noto Sans CJK SC"/>
        <family val="2"/>
      </rPr>
      <t xml:space="preserve">各値の定義を明記</t>
    </r>
  </si>
  <si>
    <t xml:space="preserve">C021</t>
  </si>
  <si>
    <t xml:space="preserve">Dashboard</t>
  </si>
  <si>
    <t xml:space="preserve">B3-B18</t>
  </si>
  <si>
    <t xml:space="preserve">ハードコード集計を数式(COUNTA/COUNTIF)に復元、範囲を400行に拡張、candidate件数を追加</t>
  </si>
  <si>
    <t xml:space="preserve">C022</t>
  </si>
  <si>
    <t xml:space="preserve">任天堂2026年3月期有報を追加(L002実績の裏付け)</t>
  </si>
  <si>
    <t xml:space="preserve">C023</t>
  </si>
  <si>
    <r>
      <rPr>
        <sz val="11"/>
        <rFont val="Calibri"/>
        <family val="0"/>
        <charset val="1"/>
      </rPr>
      <t xml:space="preserve">enum</t>
    </r>
    <r>
      <rPr>
        <sz val="11"/>
        <rFont val="Noto Sans CJK SC"/>
        <family val="2"/>
      </rPr>
      <t xml:space="preserve">列</t>
    </r>
  </si>
  <si>
    <t xml:space="preserve">validation</t>
  </si>
  <si>
    <r>
      <rPr>
        <sz val="11"/>
        <rFont val="Calibri"/>
        <family val="0"/>
        <charset val="1"/>
      </rPr>
      <t xml:space="preserve">Lists</t>
    </r>
    <r>
      <rPr>
        <sz val="11"/>
        <rFont val="Noto Sans CJK SC"/>
        <family val="2"/>
      </rPr>
      <t xml:space="preserve">参照のデータ検証を主要</t>
    </r>
    <r>
      <rPr>
        <sz val="11"/>
        <rFont val="Calibri"/>
        <family val="0"/>
        <charset val="1"/>
      </rPr>
      <t xml:space="preserve">enum</t>
    </r>
    <r>
      <rPr>
        <sz val="11"/>
        <rFont val="Noto Sans CJK SC"/>
        <family val="2"/>
      </rPr>
      <t xml:space="preserve">列と</t>
    </r>
    <r>
      <rPr>
        <sz val="11"/>
        <rFont val="Calibri"/>
        <family val="0"/>
        <charset val="1"/>
      </rPr>
      <t xml:space="preserve">bool</t>
    </r>
    <r>
      <rPr>
        <sz val="11"/>
        <rFont val="Noto Sans CJK SC"/>
        <family val="2"/>
      </rPr>
      <t xml:space="preserve">列に設定</t>
    </r>
    <r>
      <rPr>
        <sz val="11"/>
        <rFont val="Calibri"/>
        <family val="0"/>
        <charset val="1"/>
      </rPr>
      <t xml:space="preserve">(2:400</t>
    </r>
    <r>
      <rPr>
        <sz val="11"/>
        <rFont val="Noto Sans CJK SC"/>
        <family val="2"/>
      </rPr>
      <t xml:space="preserve">行</t>
    </r>
    <r>
      <rPr>
        <sz val="11"/>
        <rFont val="Calibri"/>
        <family val="0"/>
        <charset val="1"/>
      </rPr>
      <t xml:space="preserve">)</t>
    </r>
  </si>
  <si>
    <t xml:space="preserve">C024</t>
  </si>
  <si>
    <t xml:space="preserve">D2</t>
  </si>
  <si>
    <t xml:space="preserve">freeze</t>
  </si>
  <si>
    <t xml:space="preserve">先頭3列を固定表示</t>
  </si>
  <si>
    <t xml:space="preserve">C025</t>
  </si>
  <si>
    <t xml:space="preserve">README/Dashboard</t>
  </si>
  <si>
    <t xml:space="preserve">A1</t>
  </si>
  <si>
    <t xml:space="preserve">タイトルをv0.3に更新、v0.3改修行を追記</t>
  </si>
  <si>
    <t xml:space="preserve">C026</t>
  </si>
  <si>
    <r>
      <rPr>
        <sz val="11"/>
        <rFont val="Calibri"/>
        <family val="0"/>
        <charset val="1"/>
      </rPr>
      <t xml:space="preserve">27</t>
    </r>
    <r>
      <rPr>
        <sz val="11"/>
        <rFont val="Noto Sans CJK SC"/>
        <family val="2"/>
      </rPr>
      <t xml:space="preserve">セル</t>
    </r>
  </si>
  <si>
    <t xml:space="preserve">restore</t>
  </si>
  <si>
    <r>
      <rPr>
        <sz val="11"/>
        <rFont val="Calibri"/>
        <family val="0"/>
        <charset val="1"/>
      </rPr>
      <t xml:space="preserve">v0.2</t>
    </r>
    <r>
      <rPr>
        <sz val="11"/>
        <rFont val="Noto Sans CJK SC"/>
        <family val="2"/>
      </rPr>
      <t xml:space="preserve">生成時に</t>
    </r>
    <r>
      <rPr>
        <sz val="11"/>
        <rFont val="Calibri"/>
        <family val="0"/>
        <charset val="1"/>
      </rPr>
      <t xml:space="preserve">80</t>
    </r>
    <r>
      <rPr>
        <sz val="11"/>
        <rFont val="Noto Sans CJK SC"/>
        <family val="2"/>
      </rPr>
      <t xml:space="preserve">字</t>
    </r>
    <r>
      <rPr>
        <sz val="11"/>
        <rFont val="Calibri"/>
        <family val="0"/>
        <charset val="1"/>
      </rPr>
      <t xml:space="preserve">+</t>
    </r>
    <r>
      <rPr>
        <sz val="11"/>
        <rFont val="Noto Sans CJK SC"/>
        <family val="2"/>
      </rPr>
      <t xml:space="preserve">『</t>
    </r>
    <r>
      <rPr>
        <sz val="11"/>
        <rFont val="Calibri"/>
        <family val="0"/>
        <charset val="1"/>
      </rPr>
      <t xml:space="preserve">...</t>
    </r>
    <r>
      <rPr>
        <sz val="11"/>
        <rFont val="Noto Sans CJK SC"/>
        <family val="2"/>
      </rPr>
      <t xml:space="preserve">』へ切り詰められた長文セル</t>
    </r>
    <r>
      <rPr>
        <sz val="11"/>
        <rFont val="Calibri"/>
        <family val="0"/>
        <charset val="1"/>
      </rPr>
      <t xml:space="preserve">(URL6</t>
    </r>
    <r>
      <rPr>
        <sz val="11"/>
        <rFont val="Noto Sans CJK SC"/>
        <family val="2"/>
      </rPr>
      <t xml:space="preserve">・</t>
    </r>
    <r>
      <rPr>
        <sz val="11"/>
        <rFont val="Calibri"/>
        <family val="0"/>
        <charset val="1"/>
      </rPr>
      <t xml:space="preserve">seller_name3</t>
    </r>
    <r>
      <rPr>
        <sz val="11"/>
        <rFont val="Noto Sans CJK SC"/>
        <family val="2"/>
      </rPr>
      <t xml:space="preserve">・</t>
    </r>
    <r>
      <rPr>
        <sz val="11"/>
        <rFont val="Calibri"/>
        <family val="0"/>
        <charset val="1"/>
      </rPr>
      <t xml:space="preserve">route_notes/mechanism/notes18)</t>
    </r>
    <r>
      <rPr>
        <sz val="11"/>
        <rFont val="Noto Sans CJK SC"/>
        <family val="2"/>
      </rPr>
      <t xml:space="preserve">を</t>
    </r>
    <r>
      <rPr>
        <sz val="11"/>
        <rFont val="Calibri"/>
        <family val="0"/>
        <charset val="1"/>
      </rPr>
      <t xml:space="preserve">v0.1</t>
    </r>
    <r>
      <rPr>
        <sz val="11"/>
        <rFont val="Noto Sans CJK SC"/>
        <family val="2"/>
      </rPr>
      <t xml:space="preserve">原本から復元。</t>
    </r>
    <r>
      <rPr>
        <sz val="11"/>
        <rFont val="Calibri"/>
        <family val="0"/>
        <charset val="1"/>
      </rPr>
      <t xml:space="preserve">v0.3</t>
    </r>
    <r>
      <rPr>
        <sz val="11"/>
        <rFont val="Noto Sans CJK SC"/>
        <family val="2"/>
      </rPr>
      <t xml:space="preserve">で追記した注記は保持</t>
    </r>
  </si>
  <si>
    <t xml:space="preserve">C027</t>
  </si>
  <si>
    <t xml:space="preserve">S012-S017</t>
  </si>
  <si>
    <r>
      <rPr>
        <sz val="11"/>
        <rFont val="Noto Sans CJK SC"/>
        <family val="2"/>
      </rPr>
      <t xml:space="preserve">未登録</t>
    </r>
    <r>
      <rPr>
        <sz val="11"/>
        <rFont val="Calibri"/>
        <family val="0"/>
        <charset val="1"/>
      </rPr>
      <t xml:space="preserve">URL6</t>
    </r>
    <r>
      <rPr>
        <sz val="11"/>
        <rFont val="Noto Sans CJK SC"/>
        <family val="2"/>
      </rPr>
      <t xml:space="preserve">件を登録</t>
    </r>
    <r>
      <rPr>
        <sz val="11"/>
        <rFont val="Calibri"/>
        <family val="0"/>
        <charset val="1"/>
      </rPr>
      <t xml:space="preserve">(validator warnings</t>
    </r>
    <r>
      <rPr>
        <sz val="11"/>
        <rFont val="Noto Sans CJK SC"/>
        <family val="2"/>
      </rPr>
      <t xml:space="preserve">解消用</t>
    </r>
    <r>
      <rPr>
        <sz val="11"/>
        <rFont val="Calibri"/>
        <family val="0"/>
        <charset val="1"/>
      </rPr>
      <t xml:space="preserve">)</t>
    </r>
    <r>
      <rPr>
        <sz val="11"/>
        <rFont val="Noto Sans CJK SC"/>
        <family val="2"/>
      </rPr>
      <t xml:space="preserve">。</t>
    </r>
    <r>
      <rPr>
        <sz val="11"/>
        <rFont val="Calibri"/>
        <family val="0"/>
        <charset val="1"/>
      </rPr>
      <t xml:space="preserve">Reuters2</t>
    </r>
    <r>
      <rPr>
        <sz val="11"/>
        <rFont val="Noto Sans CJK SC"/>
        <family val="2"/>
      </rPr>
      <t xml:space="preserve">件と</t>
    </r>
    <r>
      <rPr>
        <sz val="11"/>
        <rFont val="Calibri"/>
        <family val="0"/>
        <charset val="1"/>
      </rPr>
      <t xml:space="preserve">Yahoo CDN1</t>
    </r>
    <r>
      <rPr>
        <sz val="11"/>
        <rFont val="Noto Sans CJK SC"/>
        <family val="2"/>
      </rPr>
      <t xml:space="preserve">件は保存注意を注記</t>
    </r>
  </si>
  <si>
    <t xml:space="preserve">C028</t>
  </si>
  <si>
    <r>
      <rPr>
        <sz val="11"/>
        <rFont val="Noto Sans CJK SC"/>
        <family val="2"/>
      </rPr>
      <t xml:space="preserve">タイトルを</t>
    </r>
    <r>
      <rPr>
        <sz val="11"/>
        <rFont val="Calibri"/>
        <family val="0"/>
        <charset val="1"/>
      </rPr>
      <t xml:space="preserve">v0.4</t>
    </r>
    <r>
      <rPr>
        <sz val="11"/>
        <rFont val="Noto Sans CJK SC"/>
        <family val="2"/>
      </rPr>
      <t xml:space="preserve">に更新</t>
    </r>
  </si>
</sst>
</file>

<file path=xl/styles.xml><?xml version="1.0" encoding="utf-8"?>
<styleSheet xmlns="http://schemas.openxmlformats.org/spreadsheetml/2006/main">
  <numFmts count="9">
    <numFmt numFmtId="164" formatCode="General"/>
    <numFmt numFmtId="165" formatCode="yyyy\-mm\-dd"/>
    <numFmt numFmtId="166" formatCode="General"/>
    <numFmt numFmtId="167" formatCode="#,##0;[RED]\(#,##0\);\-"/>
    <numFmt numFmtId="168" formatCode="hh:mm"/>
    <numFmt numFmtId="169" formatCode="#,##0"/>
    <numFmt numFmtId="170" formatCode="0.00%"/>
    <numFmt numFmtId="171" formatCode="0.0%;[RED]\(0.0%\);\-"/>
    <numFmt numFmtId="172" formatCode="\¥#,##0.00;[RED]&quot;(¥&quot;#,##0.00\);\-"/>
  </numFmts>
  <fonts count="16">
    <font>
      <sz val="10"/>
      <name val="Arial"/>
      <family val="2"/>
      <charset val="1"/>
    </font>
    <font>
      <sz val="10"/>
      <name val="Arial"/>
      <family val="0"/>
    </font>
    <font>
      <sz val="10"/>
      <name val="Arial"/>
      <family val="0"/>
    </font>
    <font>
      <sz val="10"/>
      <name val="Arial"/>
      <family val="0"/>
    </font>
    <font>
      <sz val="11"/>
      <name val="Calibri"/>
      <family val="0"/>
      <charset val="1"/>
    </font>
    <font>
      <b val="true"/>
      <sz val="16"/>
      <color rgb="FFFFFFFF"/>
      <name val="Calibri"/>
      <family val="0"/>
      <charset val="1"/>
    </font>
    <font>
      <b val="true"/>
      <sz val="11"/>
      <color rgb="FF1F4E78"/>
      <name val="Calibri"/>
      <family val="0"/>
      <charset val="1"/>
    </font>
    <font>
      <b val="true"/>
      <sz val="11"/>
      <color rgb="FF000000"/>
      <name val="Calibri"/>
      <family val="0"/>
      <charset val="1"/>
    </font>
    <font>
      <b val="true"/>
      <sz val="11"/>
      <color rgb="FFFFFFFF"/>
      <name val="Calibri"/>
      <family val="0"/>
      <charset val="1"/>
    </font>
    <font>
      <sz val="11"/>
      <name val="Noto Sans CJK SC"/>
      <family val="2"/>
      <charset val="1"/>
    </font>
    <font>
      <sz val="11"/>
      <name val="Noto Sans CJK SC"/>
      <family val="2"/>
    </font>
    <font>
      <sz val="11"/>
      <color rgb="FF0000FF"/>
      <name val="Calibri"/>
      <family val="0"/>
      <charset val="1"/>
    </font>
    <font>
      <sz val="11"/>
      <color rgb="FF000000"/>
      <name val="Calibri"/>
      <family val="0"/>
      <charset val="1"/>
    </font>
    <font>
      <sz val="11"/>
      <color rgb="FF0000FF"/>
      <name val="Noto Sans CJK SC"/>
      <family val="2"/>
      <charset val="1"/>
    </font>
    <font>
      <b val="true"/>
      <sz val="11"/>
      <color rgb="FF1F4E78"/>
      <name val="Noto Sans CJK SC"/>
      <family val="2"/>
      <charset val="1"/>
    </font>
    <font>
      <b val="true"/>
      <sz val="11"/>
      <color rgb="FF1F4E78"/>
      <name val="Noto Sans CJK SC"/>
      <family val="2"/>
    </font>
  </fonts>
  <fills count="5">
    <fill>
      <patternFill patternType="none"/>
    </fill>
    <fill>
      <patternFill patternType="gray125"/>
    </fill>
    <fill>
      <patternFill patternType="solid">
        <fgColor rgb="FF1F4E78"/>
        <bgColor rgb="FF003366"/>
      </patternFill>
    </fill>
    <fill>
      <patternFill patternType="solid">
        <fgColor rgb="FFD9EAF7"/>
        <bgColor rgb="FFC6EFCE"/>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6" fillId="3" borderId="0" xfId="0" applyFont="true" applyBorder="false" applyAlignment="true" applyProtection="false">
      <alignment horizontal="left" vertical="top" textRotation="0" wrapText="true" indent="0" shrinkToFit="false"/>
      <protection locked="true" hidden="false"/>
    </xf>
    <xf numFmtId="165" fontId="7" fillId="0" borderId="0" xfId="0" applyFont="true" applyBorder="false" applyAlignment="true" applyProtection="false">
      <alignment horizontal="right" vertical="top" textRotation="0" wrapText="true" indent="0" shrinkToFit="false"/>
      <protection locked="true" hidden="false"/>
    </xf>
    <xf numFmtId="166" fontId="7" fillId="0" borderId="0" xfId="0" applyFont="true" applyBorder="false" applyAlignment="true" applyProtection="false">
      <alignment horizontal="right"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center"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7" fontId="11" fillId="0" borderId="0" xfId="0" applyFont="true" applyBorder="false" applyAlignment="true" applyProtection="false">
      <alignment horizontal="general" vertical="top" textRotation="0" wrapText="true" indent="0" shrinkToFit="false"/>
      <protection locked="true" hidden="false"/>
    </xf>
    <xf numFmtId="168" fontId="11" fillId="0" borderId="0" xfId="0" applyFont="true" applyBorder="false" applyAlignment="true" applyProtection="false">
      <alignment horizontal="general" vertical="top" textRotation="0" wrapText="true" indent="0" shrinkToFit="false"/>
      <protection locked="true" hidden="false"/>
    </xf>
    <xf numFmtId="165" fontId="11" fillId="0" borderId="0" xfId="0" applyFont="true" applyBorder="false" applyAlignment="true" applyProtection="false">
      <alignment horizontal="general" vertical="top" textRotation="0" wrapText="true" indent="0" shrinkToFit="false"/>
      <protection locked="true" hidden="false"/>
    </xf>
    <xf numFmtId="169" fontId="11" fillId="0" borderId="0" xfId="0" applyFont="true" applyBorder="false" applyAlignment="true" applyProtection="false">
      <alignment horizontal="general" vertical="top" textRotation="0" wrapText="true" indent="0" shrinkToFit="false"/>
      <protection locked="true" hidden="false"/>
    </xf>
    <xf numFmtId="169" fontId="11" fillId="4" borderId="0" xfId="0" applyFont="true" applyBorder="false" applyAlignment="true" applyProtection="false">
      <alignment horizontal="general" vertical="top" textRotation="0" wrapText="true" indent="0" shrinkToFit="false"/>
      <protection locked="true" hidden="false"/>
    </xf>
    <xf numFmtId="169" fontId="12" fillId="0" borderId="0" xfId="0" applyFont="true" applyBorder="false" applyAlignment="true" applyProtection="false">
      <alignment horizontal="general" vertical="top" textRotation="0" wrapText="true" indent="0" shrinkToFit="false"/>
      <protection locked="true" hidden="false"/>
    </xf>
    <xf numFmtId="170" fontId="11" fillId="0" borderId="0" xfId="0" applyFont="true" applyBorder="false" applyAlignment="true" applyProtection="false">
      <alignment horizontal="general" vertical="top" textRotation="0" wrapText="true" indent="0" shrinkToFit="false"/>
      <protection locked="true" hidden="false"/>
    </xf>
    <xf numFmtId="170" fontId="11" fillId="4" borderId="0" xfId="0" applyFont="true" applyBorder="false" applyAlignment="true" applyProtection="false">
      <alignment horizontal="general" vertical="top" textRotation="0" wrapText="true" indent="0" shrinkToFit="false"/>
      <protection locked="true" hidden="false"/>
    </xf>
    <xf numFmtId="171" fontId="11" fillId="4"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70" fontId="11" fillId="0" borderId="0" xfId="0" applyFont="true" applyBorder="false" applyAlignment="true" applyProtection="false">
      <alignment horizontal="general" vertical="bottom" textRotation="0" wrapText="true" indent="0" shrinkToFit="false"/>
      <protection locked="true" hidden="false"/>
    </xf>
    <xf numFmtId="170"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7" fontId="11" fillId="4" borderId="0" xfId="0" applyFont="true" applyBorder="false" applyAlignment="true" applyProtection="false">
      <alignment horizontal="general" vertical="top" textRotation="0" wrapText="true" indent="0" shrinkToFit="false"/>
      <protection locked="true" hidden="false"/>
    </xf>
    <xf numFmtId="171" fontId="12" fillId="0" borderId="0" xfId="0" applyFont="true" applyBorder="false" applyAlignment="true" applyProtection="false">
      <alignment horizontal="general" vertical="top" textRotation="0" wrapText="true" indent="0" shrinkToFit="false"/>
      <protection locked="true" hidden="false"/>
    </xf>
    <xf numFmtId="172" fontId="11" fillId="4" borderId="0" xfId="0" applyFont="true" applyBorder="false" applyAlignment="true" applyProtection="false">
      <alignment horizontal="general" vertical="top" textRotation="0" wrapText="true" indent="0" shrinkToFit="false"/>
      <protection locked="true" hidden="false"/>
    </xf>
    <xf numFmtId="166" fontId="4" fillId="0" borderId="0" xfId="0" applyFont="true" applyBorder="false" applyAlignment="true" applyProtection="false">
      <alignment horizontal="general" vertical="top" textRotation="0" wrapText="true" indent="0" shrinkToFit="false"/>
      <protection locked="true" hidden="false"/>
    </xf>
    <xf numFmtId="164" fontId="14" fillId="3" borderId="0" xfId="0" applyFont="true" applyBorder="false" applyAlignment="true" applyProtection="false">
      <alignment horizontal="left" vertical="top" textRotation="0" wrapText="true" indent="0" shrinkToFit="false"/>
      <protection locked="true" hidden="false"/>
    </xf>
    <xf numFmtId="165" fontId="4"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8"/>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00000"/>
          <bgColor rgb="FF000000"/>
        </patternFill>
      </fill>
    </dxf>
    <dxf>
      <font>
        <color rgb="FF006100"/>
      </font>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ables/table1.xml><?xml version="1.0" encoding="utf-8"?>
<table xmlns="http://schemas.openxmlformats.org/spreadsheetml/2006/main" id="1" name="FieldDictionary" displayName="FieldDictionary" ref="A1:D16" headerRowCount="1" totalsRowCount="0" totalsRowShown="0">
  <tableColumns count="4">
    <tableColumn id="1" name="field"/>
    <tableColumn id="2" name="type"/>
    <tableColumn id="3" name="description"/>
    <tableColumn id="4" name="entry_notes"/>
  </tableColumns>
</table>
</file>

<file path=xl/tables/table2.xml><?xml version="1.0" encoding="utf-8"?>
<table xmlns="http://schemas.openxmlformats.org/spreadsheetml/2006/main" id="2" name="PolicyHoldingSaleTape" displayName="PolicyHoldingSaleTape" ref="A1:BC80" headerRowCount="1" totalsRowCount="0" totalsRowShown="0">
  <tableColumns count="55">
    <tableColumn id="1" name="event_group_id"/>
    <tableColumn id="2" name="event_leg_id"/>
    <tableColumn id="3" name="status"/>
    <tableColumn id="4" name="issuer_code"/>
    <tableColumn id="5" name="issuer_name"/>
    <tableColumn id="6" name="issuer_market"/>
    <tableColumn id="7" name="seller_name"/>
    <tableColumn id="8" name="seller_type"/>
    <tableColumn id="9" name="relationship"/>
    <tableColumn id="10" name="event_tier"/>
    <tableColumn id="11" name="event_role"/>
    <tableColumn id="12" name="sale_route"/>
    <tableColumn id="13" name="absorption_route"/>
    <tableColumn id="14" name="support_buyback"/>
    <tableColumn id="15" name="support_OA"/>
    <tableColumn id="16" name="support_lockup"/>
    <tableColumn id="17" name="support_stabilization"/>
    <tableColumn id="18" name="disclosure_time"/>
    <tableColumn id="19" name="after_close"/>
    <tableColumn id="20" name="announce_datetime"/>
    <tableColumn id="21" name="pricing_date"/>
    <tableColumn id="22" name="settlement_date"/>
    <tableColumn id="23" name="trade_date"/>
    <tableColumn id="24" name="quantity_basis"/>
    <tableColumn id="25" name="value_basis"/>
    <tableColumn id="26" name="initial_offer_shares"/>
    <tableColumn id="27" name="final_offer_shares"/>
    <tableColumn id="28" name="OA_shares_max"/>
    <tableColumn id="29" name="OA_exercised_shares"/>
    <tableColumn id="30" name="sold_shares"/>
    <tableColumn id="31" name="sold_value_JPY"/>
    <tableColumn id="32" name="pre_holding_shares"/>
    <tableColumn id="33" name="post_holding_shares"/>
    <tableColumn id="34" name="ADV20_shares"/>
    <tableColumn id="35" name="ADV60_shares"/>
    <tableColumn id="36" name="free_float_shares"/>
    <tableColumn id="37" name="market_cap_JPY"/>
    <tableColumn id="38" name="size_ADV20_calc"/>
    <tableColumn id="39" name="size_ADV60_calc"/>
    <tableColumn id="40" name="size_free_float_calc"/>
    <tableColumn id="41" name="size_market_cap_calc"/>
    <tableColumn id="42" name="offer_price_JPY"/>
    <tableColumn id="43" name="previous_close_JPY"/>
    <tableColumn id="44" name="discount_calc"/>
    <tableColumn id="45" name="buyback_size_shares"/>
    <tableColumn id="46" name="buyback_value_JPY"/>
    <tableColumn id="47" name="buyback_method"/>
    <tableColumn id="48" name="buyback_window"/>
    <tableColumn id="49" name="buyback_cancellation"/>
    <tableColumn id="50" name="lockup_days"/>
    <tableColumn id="51" name="lead_underwriter"/>
    <tableColumn id="52" name="seller_breakdown"/>
    <tableColumn id="53" name="activist_pressure"/>
    <tableColumn id="54" name="announcement_CAR_m1_p1"/>
    <tableColumn id="55" name="announcement_CAR_0_p1"/>
  </tableColumns>
</table>
</file>

<file path=xl/tables/table3.xml><?xml version="1.0" encoding="utf-8"?>
<table xmlns="http://schemas.openxmlformats.org/spreadsheetml/2006/main" id="3" name="SourceLog" displayName="SourceLog" ref="A1:D11" headerRowCount="1" totalsRowCount="0" totalsRowShown="0">
  <tableColumns count="4">
    <tableColumn id="1" name="source_id"/>
    <tableColumn id="2" name="source_type"/>
    <tableColumn id="3" name="source_url"/>
    <tableColumn id="4" name="what_it_supports"/>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6.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2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9.25"/>
    <col collapsed="false" customWidth="true" hidden="false" outlineLevel="0" max="2" min="2" style="1" width="67.52"/>
  </cols>
  <sheetData>
    <row r="1" customFormat="false" ht="30" hidden="false" customHeight="true" outlineLevel="0" collapsed="false">
      <c r="A1" s="2" t="s">
        <v>0</v>
      </c>
      <c r="B1" s="2"/>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row>
    <row r="2" customFormat="false" ht="15" hidden="false" customHeight="true" outlineLevel="0" collapsed="false">
      <c r="A2" s="4" t="s">
        <v>1</v>
      </c>
      <c r="B2" s="5" t="n">
        <v>46210</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row>
    <row r="3" customFormat="false" ht="15" hidden="false" customHeight="true" outlineLevel="0" collapsed="false">
      <c r="A3" s="4" t="s">
        <v>2</v>
      </c>
      <c r="B3" s="6" t="n">
        <f aca="false">COUNTA(Event_Tape!A2:A400)</f>
        <v>12</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row>
    <row r="4" customFormat="false" ht="15" hidden="false" customHeight="true" outlineLevel="0" collapsed="false">
      <c r="A4" s="4" t="s">
        <v>3</v>
      </c>
      <c r="B4" s="6" t="n">
        <f aca="false">COUNTIF(Event_Tape!J2:J400,"Tier1_confirmed")</f>
        <v>9</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row>
    <row r="5" customFormat="false" ht="15" hidden="false" customHeight="true" outlineLevel="0" collapsed="false">
      <c r="A5" s="4" t="s">
        <v>4</v>
      </c>
      <c r="B5" s="6" t="n">
        <f aca="false">COUNTIF(Event_Tape!J2:J400,"Tier2_candidate")</f>
        <v>3</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row>
    <row r="6" customFormat="false" ht="15" hidden="false" customHeight="true" outlineLevel="0" collapsed="false">
      <c r="A6" s="4" t="s">
        <v>5</v>
      </c>
      <c r="B6" s="6" t="n">
        <f aca="false">COUNTIF(Event_Tape!BM2:BM400,"Yes")</f>
        <v>7</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row>
    <row r="7" customFormat="false" ht="15" hidden="false" customHeight="true" outlineLevel="0" collapsed="false">
      <c r="A7" s="7" t="s">
        <v>6</v>
      </c>
      <c r="B7" s="7" t="s">
        <v>7</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row>
    <row r="8" customFormat="false" ht="15" hidden="false" customHeight="true" outlineLevel="0" collapsed="false">
      <c r="A8" s="8" t="s">
        <v>8</v>
      </c>
      <c r="B8" s="8" t="n">
        <f aca="false">COUNTIF(Event_Tape!C2:C400,"candidate")</f>
        <v>3</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row>
    <row r="9" customFormat="false" ht="15" hidden="false" customHeight="true" outlineLevel="0" collapsed="false">
      <c r="A9" s="7" t="s">
        <v>9</v>
      </c>
      <c r="B9" s="7" t="s">
        <v>10</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row>
    <row r="10" customFormat="false" ht="15" hidden="false" customHeight="true" outlineLevel="0" collapsed="false">
      <c r="A10" s="7" t="s">
        <v>11</v>
      </c>
      <c r="B10" s="7" t="n">
        <f aca="false">COUNTIF(Event_Tape!L2:L400,A10)</f>
        <v>9</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row>
    <row r="11" customFormat="false" ht="15" hidden="false" customHeight="true" outlineLevel="0" collapsed="false">
      <c r="A11" s="7" t="s">
        <v>12</v>
      </c>
      <c r="B11" s="7" t="n">
        <f aca="false">COUNTIF(Event_Tape!L2:L400,A11)</f>
        <v>2</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row>
    <row r="12" customFormat="false" ht="15" hidden="false" customHeight="true" outlineLevel="0" collapsed="false">
      <c r="A12" s="7" t="s">
        <v>13</v>
      </c>
      <c r="B12" s="7" t="n">
        <f aca="false">COUNTIF(Event_Tape!L2:L400,A12)</f>
        <v>1</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row>
    <row r="13" customFormat="false" ht="15" hidden="false" customHeight="true" outlineLevel="0" collapsed="false">
      <c r="A13" s="7" t="s">
        <v>14</v>
      </c>
      <c r="B13" s="7" t="n">
        <f aca="false">COUNTIF(Event_Tape!L2:L400,A13)</f>
        <v>0</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row>
    <row r="14" customFormat="false" ht="15" hidden="false" customHeight="true" outlineLevel="0" collapsed="false">
      <c r="A14" s="7" t="s">
        <v>15</v>
      </c>
      <c r="B14" s="7" t="n">
        <f aca="false">COUNTIF(Event_Tape!L2:L400,A14)</f>
        <v>0</v>
      </c>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row>
    <row r="15" customFormat="false" ht="15" hidden="false" customHeight="true" outlineLevel="0" collapsed="false">
      <c r="A15" s="7" t="s">
        <v>16</v>
      </c>
      <c r="B15" s="7" t="n">
        <f aca="false">COUNTIF(Event_Tape!L2:L400,A15)</f>
        <v>0</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row>
    <row r="16" customFormat="false" ht="15" hidden="false" customHeight="true" outlineLevel="0" collapsed="false">
      <c r="A16" s="8" t="s">
        <v>17</v>
      </c>
      <c r="B16" s="1" t="n">
        <f aca="false">COUNTIF(Event_Tape!L2:L400,"mixed")</f>
        <v>0</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row>
    <row r="17" customFormat="false" ht="15" hidden="false" customHeight="true" outlineLevel="0" collapsed="false">
      <c r="A17" s="7" t="s">
        <v>18</v>
      </c>
      <c r="B17" s="7" t="n">
        <f aca="false">COUNTIF(Event_Tape!L2:L400,"unknown")</f>
        <v>0</v>
      </c>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row>
    <row r="18" customFormat="false" ht="15" hidden="false" customHeight="true" outlineLevel="0" collapsed="false">
      <c r="A18" s="7" t="s">
        <v>19</v>
      </c>
      <c r="B18" s="7" t="n">
        <f aca="false">COUNTIFS(Event_Tape!A2:A400,"&lt;&gt;",Event_Tape!L2:L400,"")</f>
        <v>0</v>
      </c>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row>
    <row r="19" customFormat="false" ht="15" hidden="false" customHeight="true" outlineLevel="0" collapsed="false">
      <c r="A19" s="7"/>
      <c r="B19" s="7"/>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row>
    <row r="20" customFormat="false" ht="15" hidden="false" customHeight="true" outlineLevel="0" collapsed="false">
      <c r="A20" s="7" t="s">
        <v>20</v>
      </c>
      <c r="B20" s="7"/>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row>
    <row r="21" customFormat="false" ht="32.25" hidden="false" customHeight="true" outlineLevel="0" collapsed="false">
      <c r="A21" s="7" t="s">
        <v>21</v>
      </c>
      <c r="B21" s="9" t="s">
        <v>22</v>
      </c>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row>
    <row r="22" customFormat="false" ht="32.25" hidden="false" customHeight="true" outlineLevel="0" collapsed="false">
      <c r="A22" s="7" t="s">
        <v>23</v>
      </c>
      <c r="B22" s="7" t="s">
        <v>24</v>
      </c>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row>
    <row r="23" customFormat="false" ht="32.25" hidden="false" customHeight="true" outlineLevel="0" collapsed="false">
      <c r="A23" s="7" t="s">
        <v>25</v>
      </c>
      <c r="B23" s="9" t="s">
        <v>26</v>
      </c>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row>
    <row r="24" customFormat="false" ht="16.5" hidden="false" customHeight="true" outlineLevel="0" collapsed="false">
      <c r="A24" s="7" t="s">
        <v>27</v>
      </c>
      <c r="B24" s="7" t="s">
        <v>28</v>
      </c>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row>
    <row r="25" customFormat="false" ht="32.25" hidden="false" customHeight="true" outlineLevel="0" collapsed="false">
      <c r="A25" s="7" t="s">
        <v>29</v>
      </c>
      <c r="B25" s="7" t="s">
        <v>30</v>
      </c>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row>
    <row r="26" customFormat="false" ht="16.5" hidden="false" customHeight="true" outlineLevel="0" collapsed="false">
      <c r="A26" s="7" t="s">
        <v>31</v>
      </c>
      <c r="B26" s="9" t="s">
        <v>32</v>
      </c>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row>
    <row r="27" customFormat="false" ht="15" hidden="false" customHeight="true" outlineLevel="0" collapsed="false">
      <c r="A27" s="7"/>
      <c r="B27" s="7"/>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row>
    <row r="28" customFormat="false" ht="15" hidden="false" customHeight="true" outlineLevel="0" collapsed="false">
      <c r="A28" s="7"/>
      <c r="B28" s="7"/>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row>
    <row r="29" customFormat="false" ht="15" hidden="false" customHeight="true" outlineLevel="0" collapsed="false">
      <c r="A29" s="7"/>
      <c r="B29" s="7"/>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row>
    <row r="30" customFormat="false" ht="15" hidden="false" customHeight="true" outlineLevel="0" collapsed="false">
      <c r="A30" s="7"/>
      <c r="B30" s="7"/>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row>
    <row r="31" customFormat="false" ht="15" hidden="false" customHeight="true" outlineLevel="0" collapsed="false">
      <c r="A31" s="7"/>
      <c r="B31" s="7"/>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row>
    <row r="32" customFormat="false" ht="15" hidden="false" customHeight="true" outlineLevel="0" collapsed="false">
      <c r="A32" s="7"/>
      <c r="B32" s="7"/>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row>
    <row r="33" customFormat="false" ht="15" hidden="false" customHeight="true" outlineLevel="0" collapsed="false">
      <c r="A33" s="7"/>
      <c r="B33" s="7"/>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row>
    <row r="34" customFormat="false" ht="15" hidden="false" customHeight="true" outlineLevel="0" collapsed="false">
      <c r="A34" s="7"/>
      <c r="B34" s="7"/>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row>
    <row r="35" customFormat="false" ht="15" hidden="false" customHeight="true" outlineLevel="0" collapsed="false">
      <c r="A35" s="7"/>
      <c r="B35" s="7"/>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row>
    <row r="36" customFormat="false" ht="15" hidden="false" customHeight="true" outlineLevel="0" collapsed="false">
      <c r="A36" s="7"/>
      <c r="B36" s="7"/>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row>
    <row r="37" customFormat="false" ht="15" hidden="false" customHeight="true" outlineLevel="0" collapsed="false">
      <c r="A37" s="7"/>
      <c r="B37" s="7"/>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row>
    <row r="38" customFormat="false" ht="15" hidden="false" customHeight="true" outlineLevel="0" collapsed="false">
      <c r="A38" s="7"/>
      <c r="B38" s="7"/>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row>
    <row r="39" customFormat="false" ht="15" hidden="false" customHeight="true" outlineLevel="0" collapsed="false">
      <c r="A39" s="7"/>
      <c r="B39" s="7"/>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row>
    <row r="40" customFormat="false" ht="15" hidden="false" customHeight="true" outlineLevel="0" collapsed="false">
      <c r="A40" s="7"/>
      <c r="B40" s="7"/>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row>
    <row r="41" customFormat="false" ht="15" hidden="false" customHeight="true" outlineLevel="0" collapsed="false">
      <c r="A41" s="7"/>
      <c r="B41" s="7"/>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row>
    <row r="42" customFormat="false" ht="15" hidden="false" customHeight="true" outlineLevel="0" collapsed="false">
      <c r="A42" s="7"/>
      <c r="B42" s="7"/>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row>
    <row r="43" customFormat="false" ht="15" hidden="false" customHeight="true" outlineLevel="0" collapsed="false">
      <c r="A43" s="7"/>
      <c r="B43" s="7"/>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row>
    <row r="44" customFormat="false" ht="15" hidden="false" customHeight="true" outlineLevel="0" collapsed="false">
      <c r="A44" s="7"/>
      <c r="B44" s="7"/>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row>
    <row r="45" customFormat="false" ht="15" hidden="false" customHeight="true" outlineLevel="0" collapsed="false">
      <c r="A45" s="7"/>
      <c r="B45" s="7"/>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row>
    <row r="46" customFormat="false" ht="15" hidden="false" customHeight="true" outlineLevel="0" collapsed="false">
      <c r="A46" s="7"/>
      <c r="B46" s="7"/>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row>
    <row r="47" customFormat="false" ht="15" hidden="false" customHeight="true" outlineLevel="0" collapsed="false">
      <c r="A47" s="7"/>
      <c r="B47" s="7"/>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row>
    <row r="48" customFormat="false" ht="15" hidden="false" customHeight="true" outlineLevel="0" collapsed="false">
      <c r="A48" s="7"/>
      <c r="B48" s="7"/>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row>
    <row r="49" customFormat="false" ht="15" hidden="false" customHeight="true" outlineLevel="0" collapsed="false">
      <c r="A49" s="7"/>
      <c r="B49" s="7"/>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row>
    <row r="50" customFormat="false" ht="15" hidden="false" customHeight="true" outlineLevel="0" collapsed="false">
      <c r="A50" s="7"/>
      <c r="B50" s="7"/>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row>
    <row r="51" customFormat="false" ht="15" hidden="false" customHeight="true" outlineLevel="0" collapsed="false">
      <c r="A51" s="7"/>
      <c r="B51" s="7"/>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row>
    <row r="52" customFormat="false" ht="15" hidden="false" customHeight="true" outlineLevel="0" collapsed="false">
      <c r="A52" s="7"/>
      <c r="B52" s="7"/>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row>
    <row r="53" customFormat="false" ht="15" hidden="false" customHeight="true" outlineLevel="0" collapsed="false">
      <c r="A53" s="7"/>
      <c r="B53" s="7"/>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row>
    <row r="54" customFormat="false" ht="15" hidden="false" customHeight="true" outlineLevel="0" collapsed="false">
      <c r="A54" s="7"/>
      <c r="B54" s="7"/>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row>
    <row r="55" customFormat="false" ht="15" hidden="false" customHeight="true" outlineLevel="0" collapsed="false">
      <c r="A55" s="7"/>
      <c r="B55" s="7"/>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row>
    <row r="56" customFormat="false" ht="15" hidden="false" customHeight="true" outlineLevel="0" collapsed="false">
      <c r="A56" s="7"/>
      <c r="B56" s="7"/>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row>
    <row r="57" customFormat="false" ht="15" hidden="false" customHeight="true" outlineLevel="0" collapsed="false">
      <c r="A57" s="7"/>
      <c r="B57" s="7"/>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row>
    <row r="58" customFormat="false" ht="15" hidden="false" customHeight="true" outlineLevel="0" collapsed="false">
      <c r="A58" s="7"/>
      <c r="B58" s="7"/>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row>
    <row r="59" customFormat="false" ht="15" hidden="false" customHeight="true" outlineLevel="0" collapsed="false">
      <c r="A59" s="7"/>
      <c r="B59" s="7"/>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row>
    <row r="60" customFormat="false" ht="15" hidden="false" customHeight="true" outlineLevel="0" collapsed="false">
      <c r="A60" s="7"/>
      <c r="B60" s="7"/>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row>
    <row r="61" customFormat="false" ht="15" hidden="false" customHeight="true" outlineLevel="0" collapsed="false">
      <c r="A61" s="7"/>
      <c r="B61" s="7"/>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row>
    <row r="62" customFormat="false" ht="15" hidden="false" customHeight="true" outlineLevel="0" collapsed="false">
      <c r="A62" s="7"/>
      <c r="B62" s="7"/>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row>
    <row r="63" customFormat="false" ht="15" hidden="false" customHeight="true" outlineLevel="0" collapsed="false">
      <c r="A63" s="7"/>
      <c r="B63" s="7"/>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row>
    <row r="64" customFormat="false" ht="15" hidden="false" customHeight="true" outlineLevel="0" collapsed="false">
      <c r="A64" s="7"/>
      <c r="B64" s="7"/>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row>
    <row r="65" customFormat="false" ht="15" hidden="false" customHeight="true" outlineLevel="0" collapsed="false">
      <c r="A65" s="7"/>
      <c r="B65" s="7"/>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row>
    <row r="66" customFormat="false" ht="15" hidden="false" customHeight="true" outlineLevel="0" collapsed="false">
      <c r="A66" s="7"/>
      <c r="B66" s="7"/>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row>
    <row r="67" customFormat="false" ht="15" hidden="false" customHeight="true" outlineLevel="0" collapsed="false">
      <c r="A67" s="7"/>
      <c r="B67" s="7"/>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row>
    <row r="68" customFormat="false" ht="15" hidden="false" customHeight="true" outlineLevel="0" collapsed="false">
      <c r="A68" s="7"/>
      <c r="B68" s="7"/>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row>
    <row r="69" customFormat="false" ht="15" hidden="false" customHeight="true" outlineLevel="0" collapsed="false">
      <c r="A69" s="7"/>
      <c r="B69" s="7"/>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row>
    <row r="70" customFormat="false" ht="15" hidden="false" customHeight="true" outlineLevel="0" collapsed="false">
      <c r="A70" s="7"/>
      <c r="B70" s="7"/>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row>
    <row r="71" customFormat="false" ht="15" hidden="false" customHeight="true" outlineLevel="0" collapsed="false">
      <c r="A71" s="7"/>
      <c r="B71" s="7"/>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row>
    <row r="72" customFormat="false" ht="15" hidden="false" customHeight="true" outlineLevel="0" collapsed="false">
      <c r="A72" s="7"/>
      <c r="B72" s="7"/>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row>
    <row r="73" customFormat="false" ht="15" hidden="false" customHeight="true" outlineLevel="0" collapsed="false">
      <c r="A73" s="7"/>
      <c r="B73" s="7"/>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row>
    <row r="74" customFormat="false" ht="15" hidden="false" customHeight="true" outlineLevel="0" collapsed="false">
      <c r="A74" s="7"/>
      <c r="B74" s="7"/>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row>
    <row r="75" customFormat="false" ht="15" hidden="false" customHeight="true" outlineLevel="0" collapsed="false">
      <c r="A75" s="7"/>
      <c r="B75" s="7"/>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row>
    <row r="76" customFormat="false" ht="15" hidden="false" customHeight="true" outlineLevel="0" collapsed="false">
      <c r="A76" s="7"/>
      <c r="B76" s="7"/>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row>
    <row r="77" customFormat="false" ht="15" hidden="false" customHeight="true" outlineLevel="0" collapsed="false">
      <c r="A77" s="7"/>
      <c r="B77" s="7"/>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row>
    <row r="78" customFormat="false" ht="15" hidden="false" customHeight="true" outlineLevel="0" collapsed="false">
      <c r="A78" s="7"/>
      <c r="B78" s="7"/>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row>
    <row r="79" customFormat="false" ht="15" hidden="false" customHeight="true" outlineLevel="0" collapsed="false">
      <c r="A79" s="7"/>
      <c r="B79" s="7"/>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row>
    <row r="80" customFormat="false" ht="15" hidden="false" customHeight="true" outlineLevel="0" collapsed="false">
      <c r="A80" s="7"/>
      <c r="B80" s="7"/>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row>
    <row r="81" customFormat="false" ht="15" hidden="false" customHeight="true" outlineLevel="0" collapsed="false">
      <c r="A81" s="7"/>
      <c r="B81" s="7"/>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row>
    <row r="82" customFormat="false" ht="15" hidden="false" customHeight="true" outlineLevel="0" collapsed="false">
      <c r="A82" s="7"/>
      <c r="B82" s="7"/>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row>
    <row r="83" customFormat="false" ht="15" hidden="false" customHeight="true" outlineLevel="0" collapsed="false">
      <c r="A83" s="7"/>
      <c r="B83" s="7"/>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row>
    <row r="84" customFormat="false" ht="15" hidden="false" customHeight="true" outlineLevel="0" collapsed="false">
      <c r="A84" s="7"/>
      <c r="B84" s="7"/>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row>
    <row r="85" customFormat="false" ht="15" hidden="false" customHeight="true" outlineLevel="0" collapsed="false">
      <c r="A85" s="7"/>
      <c r="B85" s="7"/>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row>
    <row r="86" customFormat="false" ht="15" hidden="false" customHeight="true" outlineLevel="0" collapsed="false">
      <c r="A86" s="7"/>
      <c r="B86" s="7"/>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row>
    <row r="87" customFormat="false" ht="15" hidden="false" customHeight="true" outlineLevel="0" collapsed="false">
      <c r="A87" s="7"/>
      <c r="B87" s="7"/>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row>
    <row r="88" customFormat="false" ht="15" hidden="false" customHeight="true" outlineLevel="0" collapsed="false">
      <c r="A88" s="7"/>
      <c r="B88" s="7"/>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row>
    <row r="89" customFormat="false" ht="15" hidden="false" customHeight="true" outlineLevel="0" collapsed="false">
      <c r="A89" s="7"/>
      <c r="B89" s="7"/>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row>
    <row r="90" customFormat="false" ht="15" hidden="false" customHeight="true" outlineLevel="0" collapsed="false">
      <c r="A90" s="7"/>
      <c r="B90" s="7"/>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row>
    <row r="91" customFormat="false" ht="15" hidden="false" customHeight="true" outlineLevel="0" collapsed="false">
      <c r="A91" s="7"/>
      <c r="B91" s="7"/>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row>
    <row r="92" customFormat="false" ht="15" hidden="false" customHeight="true" outlineLevel="0" collapsed="false">
      <c r="A92" s="7"/>
      <c r="B92" s="7"/>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row>
    <row r="93" customFormat="false" ht="15" hidden="false" customHeight="true" outlineLevel="0" collapsed="false">
      <c r="A93" s="7"/>
      <c r="B93" s="7"/>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row>
    <row r="94" customFormat="false" ht="15" hidden="false" customHeight="true" outlineLevel="0" collapsed="false">
      <c r="A94" s="7"/>
      <c r="B94" s="7"/>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row>
    <row r="95" customFormat="false" ht="15" hidden="false" customHeight="true" outlineLevel="0" collapsed="false">
      <c r="A95" s="7"/>
      <c r="B95" s="7"/>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row>
    <row r="96" customFormat="false" ht="15" hidden="false" customHeight="true" outlineLevel="0" collapsed="false">
      <c r="A96" s="7"/>
      <c r="B96" s="7"/>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row>
    <row r="97" customFormat="false" ht="15" hidden="false" customHeight="true" outlineLevel="0" collapsed="false">
      <c r="A97" s="7"/>
      <c r="B97" s="7"/>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row>
    <row r="98" customFormat="false" ht="15" hidden="false" customHeight="true" outlineLevel="0" collapsed="false">
      <c r="A98" s="7"/>
      <c r="B98" s="7"/>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row>
    <row r="99" customFormat="false" ht="15" hidden="false" customHeight="true" outlineLevel="0" collapsed="false">
      <c r="A99" s="7"/>
      <c r="B99" s="7"/>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row>
    <row r="100" customFormat="false" ht="15" hidden="false" customHeight="true" outlineLevel="0" collapsed="false">
      <c r="A100" s="7"/>
      <c r="B100" s="7"/>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row>
    <row r="101" customFormat="false" ht="15" hidden="false" customHeight="true" outlineLevel="0" collapsed="false">
      <c r="A101" s="7"/>
      <c r="B101" s="7"/>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row>
    <row r="102" customFormat="false" ht="15" hidden="false" customHeight="true" outlineLevel="0" collapsed="false">
      <c r="A102" s="7"/>
      <c r="B102" s="7"/>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row>
    <row r="103" customFormat="false" ht="15" hidden="false" customHeight="true" outlineLevel="0" collapsed="false">
      <c r="A103" s="7"/>
      <c r="B103" s="7"/>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row>
    <row r="104" customFormat="false" ht="15" hidden="false" customHeight="true" outlineLevel="0" collapsed="false">
      <c r="A104" s="7"/>
      <c r="B104" s="7"/>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row>
    <row r="105" customFormat="false" ht="15" hidden="false" customHeight="true" outlineLevel="0" collapsed="false">
      <c r="A105" s="7"/>
      <c r="B105" s="7"/>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row>
    <row r="106" customFormat="false" ht="15" hidden="false" customHeight="true" outlineLevel="0" collapsed="false">
      <c r="A106" s="7"/>
      <c r="B106" s="7"/>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row>
    <row r="107" customFormat="false" ht="15" hidden="false" customHeight="true" outlineLevel="0" collapsed="false">
      <c r="A107" s="7"/>
      <c r="B107" s="7"/>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row>
    <row r="108" customFormat="false" ht="15" hidden="false" customHeight="true" outlineLevel="0" collapsed="false">
      <c r="A108" s="7"/>
      <c r="B108" s="7"/>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row>
    <row r="109" customFormat="false" ht="15" hidden="false" customHeight="true" outlineLevel="0" collapsed="false">
      <c r="A109" s="7"/>
      <c r="B109" s="7"/>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row>
    <row r="110" customFormat="false" ht="15" hidden="false" customHeight="true" outlineLevel="0" collapsed="false">
      <c r="A110" s="7"/>
      <c r="B110" s="7"/>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row>
    <row r="111" customFormat="false" ht="15" hidden="false" customHeight="true" outlineLevel="0" collapsed="false">
      <c r="A111" s="7"/>
      <c r="B111" s="7"/>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row>
    <row r="112" customFormat="false" ht="15" hidden="false" customHeight="true" outlineLevel="0" collapsed="false">
      <c r="A112" s="7"/>
      <c r="B112" s="7"/>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row>
    <row r="113" customFormat="false" ht="15" hidden="false" customHeight="true" outlineLevel="0" collapsed="false">
      <c r="A113" s="7"/>
      <c r="B113" s="7"/>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row>
    <row r="114" customFormat="false" ht="15" hidden="false" customHeight="true" outlineLevel="0" collapsed="false">
      <c r="A114" s="7"/>
      <c r="B114" s="7"/>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row>
    <row r="115" customFormat="false" ht="15" hidden="false" customHeight="true" outlineLevel="0" collapsed="false">
      <c r="A115" s="7"/>
      <c r="B115" s="7"/>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row>
    <row r="116" customFormat="false" ht="15" hidden="false" customHeight="true" outlineLevel="0" collapsed="false">
      <c r="A116" s="7"/>
      <c r="B116" s="7"/>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row>
    <row r="117" customFormat="false" ht="15" hidden="false" customHeight="true" outlineLevel="0" collapsed="false">
      <c r="A117" s="7"/>
      <c r="B117" s="7"/>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row>
    <row r="118" customFormat="false" ht="15" hidden="false" customHeight="true" outlineLevel="0" collapsed="false">
      <c r="A118" s="7"/>
      <c r="B118" s="7"/>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row>
    <row r="119" customFormat="false" ht="15" hidden="false" customHeight="true" outlineLevel="0" collapsed="false">
      <c r="A119" s="7"/>
      <c r="B119" s="7"/>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row>
    <row r="120" customFormat="false" ht="15" hidden="false" customHeight="true" outlineLevel="0" collapsed="false">
      <c r="A120" s="7"/>
      <c r="B120" s="7"/>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row>
    <row r="121" customFormat="false" ht="15" hidden="false" customHeight="true" outlineLevel="0" collapsed="false">
      <c r="A121" s="7"/>
      <c r="B121" s="7"/>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row>
    <row r="122" customFormat="false" ht="15" hidden="false" customHeight="true" outlineLevel="0" collapsed="false">
      <c r="A122" s="7"/>
      <c r="B122" s="7"/>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row>
    <row r="123" customFormat="false" ht="15" hidden="false" customHeight="true" outlineLevel="0" collapsed="false">
      <c r="A123" s="7"/>
      <c r="B123" s="7"/>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row>
    <row r="124" customFormat="false" ht="15" hidden="false" customHeight="true" outlineLevel="0" collapsed="false">
      <c r="A124" s="7"/>
      <c r="B124" s="7"/>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row>
    <row r="125" customFormat="false" ht="15" hidden="false" customHeight="true" outlineLevel="0" collapsed="false">
      <c r="A125" s="7"/>
      <c r="B125" s="7"/>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row>
    <row r="126" customFormat="false" ht="15" hidden="false" customHeight="true" outlineLevel="0" collapsed="false">
      <c r="A126" s="7"/>
      <c r="B126" s="7"/>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row>
    <row r="127" customFormat="false" ht="15" hidden="false" customHeight="true" outlineLevel="0" collapsed="false">
      <c r="A127" s="7"/>
      <c r="B127" s="7"/>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row>
    <row r="128" customFormat="false" ht="15" hidden="false" customHeight="true" outlineLevel="0" collapsed="false">
      <c r="A128" s="7"/>
      <c r="B128" s="7"/>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row>
    <row r="129" customFormat="false" ht="15" hidden="false" customHeight="true" outlineLevel="0" collapsed="false">
      <c r="A129" s="7"/>
      <c r="B129" s="7"/>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row>
    <row r="130" customFormat="false" ht="15" hidden="false" customHeight="true" outlineLevel="0" collapsed="false">
      <c r="A130" s="7"/>
      <c r="B130" s="7"/>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row>
    <row r="131" customFormat="false" ht="15" hidden="false" customHeight="true" outlineLevel="0" collapsed="false">
      <c r="A131" s="7"/>
      <c r="B131" s="7"/>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row>
    <row r="132" customFormat="false" ht="15" hidden="false" customHeight="true" outlineLevel="0" collapsed="false">
      <c r="A132" s="7"/>
      <c r="B132" s="7"/>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row>
    <row r="133" customFormat="false" ht="15" hidden="false" customHeight="true" outlineLevel="0" collapsed="false">
      <c r="A133" s="7"/>
      <c r="B133" s="7"/>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row>
    <row r="134" customFormat="false" ht="15" hidden="false" customHeight="true" outlineLevel="0" collapsed="false">
      <c r="A134" s="7"/>
      <c r="B134" s="7"/>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row>
    <row r="135" customFormat="false" ht="15" hidden="false" customHeight="true" outlineLevel="0" collapsed="false">
      <c r="A135" s="7"/>
      <c r="B135" s="7"/>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row>
    <row r="136" customFormat="false" ht="15" hidden="false" customHeight="true" outlineLevel="0" collapsed="false">
      <c r="A136" s="7"/>
      <c r="B136" s="7"/>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row>
    <row r="137" customFormat="false" ht="15" hidden="false" customHeight="true" outlineLevel="0" collapsed="false">
      <c r="A137" s="7"/>
      <c r="B137" s="7"/>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row>
    <row r="138" customFormat="false" ht="15" hidden="false" customHeight="true" outlineLevel="0" collapsed="false">
      <c r="A138" s="7"/>
      <c r="B138" s="7"/>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row>
    <row r="139" customFormat="false" ht="15" hidden="false" customHeight="true" outlineLevel="0" collapsed="false">
      <c r="A139" s="7"/>
      <c r="B139" s="7"/>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row>
    <row r="140" customFormat="false" ht="15" hidden="false" customHeight="true" outlineLevel="0" collapsed="false">
      <c r="A140" s="7"/>
      <c r="B140" s="7"/>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row>
    <row r="141" customFormat="false" ht="15" hidden="false" customHeight="true" outlineLevel="0" collapsed="false">
      <c r="A141" s="7"/>
      <c r="B141" s="7"/>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row>
    <row r="142" customFormat="false" ht="15" hidden="false" customHeight="true" outlineLevel="0" collapsed="false">
      <c r="A142" s="7"/>
      <c r="B142" s="7"/>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row>
    <row r="143" customFormat="false" ht="15" hidden="false" customHeight="true" outlineLevel="0" collapsed="false">
      <c r="A143" s="7"/>
      <c r="B143" s="7"/>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row>
    <row r="144" customFormat="false" ht="15" hidden="false" customHeight="true" outlineLevel="0" collapsed="false">
      <c r="A144" s="7"/>
      <c r="B144" s="7"/>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row>
    <row r="145" customFormat="false" ht="15" hidden="false" customHeight="true" outlineLevel="0" collapsed="false">
      <c r="A145" s="7"/>
      <c r="B145" s="7"/>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row>
    <row r="146" customFormat="false" ht="15" hidden="false" customHeight="true" outlineLevel="0" collapsed="false">
      <c r="A146" s="7"/>
      <c r="B146" s="7"/>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row>
    <row r="147" customFormat="false" ht="15" hidden="false" customHeight="true" outlineLevel="0" collapsed="false">
      <c r="A147" s="7"/>
      <c r="B147" s="7"/>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row>
    <row r="148" customFormat="false" ht="15" hidden="false" customHeight="true" outlineLevel="0" collapsed="false">
      <c r="A148" s="7"/>
      <c r="B148" s="7"/>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row>
    <row r="149" customFormat="false" ht="15" hidden="false" customHeight="true" outlineLevel="0" collapsed="false">
      <c r="A149" s="7"/>
      <c r="B149" s="7"/>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row>
    <row r="150" customFormat="false" ht="15" hidden="false" customHeight="true" outlineLevel="0" collapsed="false">
      <c r="A150" s="7"/>
      <c r="B150" s="7"/>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row>
    <row r="151" customFormat="false" ht="15" hidden="false" customHeight="true" outlineLevel="0" collapsed="false">
      <c r="A151" s="7"/>
      <c r="B151" s="7"/>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row>
    <row r="152" customFormat="false" ht="15" hidden="false" customHeight="true" outlineLevel="0" collapsed="false">
      <c r="A152" s="7"/>
      <c r="B152" s="7"/>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row>
    <row r="153" customFormat="false" ht="15" hidden="false" customHeight="true" outlineLevel="0" collapsed="false">
      <c r="A153" s="7"/>
      <c r="B153" s="7"/>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row>
    <row r="154" customFormat="false" ht="15" hidden="false" customHeight="true" outlineLevel="0" collapsed="false">
      <c r="A154" s="7"/>
      <c r="B154" s="7"/>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row>
    <row r="155" customFormat="false" ht="15" hidden="false" customHeight="true" outlineLevel="0" collapsed="false">
      <c r="A155" s="7"/>
      <c r="B155" s="7"/>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row>
    <row r="156" customFormat="false" ht="15" hidden="false" customHeight="true" outlineLevel="0" collapsed="false">
      <c r="A156" s="7"/>
      <c r="B156" s="7"/>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row>
    <row r="157" customFormat="false" ht="15" hidden="false" customHeight="true" outlineLevel="0" collapsed="false">
      <c r="A157" s="7"/>
      <c r="B157" s="7"/>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row>
    <row r="158" customFormat="false" ht="15" hidden="false" customHeight="true" outlineLevel="0" collapsed="false">
      <c r="A158" s="7"/>
      <c r="B158" s="7"/>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row>
    <row r="159" customFormat="false" ht="15" hidden="false" customHeight="true" outlineLevel="0" collapsed="false">
      <c r="A159" s="7"/>
      <c r="B159" s="7"/>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row>
    <row r="160" customFormat="false" ht="15" hidden="false" customHeight="true" outlineLevel="0" collapsed="false">
      <c r="A160" s="7"/>
      <c r="B160" s="7"/>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row>
    <row r="161" customFormat="false" ht="15" hidden="false" customHeight="true" outlineLevel="0" collapsed="false">
      <c r="A161" s="7"/>
      <c r="B161" s="7"/>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row>
    <row r="162" customFormat="false" ht="15" hidden="false" customHeight="true" outlineLevel="0" collapsed="false">
      <c r="A162" s="7"/>
      <c r="B162" s="7"/>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row>
    <row r="163" customFormat="false" ht="15" hidden="false" customHeight="true" outlineLevel="0" collapsed="false">
      <c r="A163" s="7"/>
      <c r="B163" s="7"/>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row>
    <row r="164" customFormat="false" ht="15" hidden="false" customHeight="true" outlineLevel="0" collapsed="false">
      <c r="A164" s="7"/>
      <c r="B164" s="7"/>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row>
    <row r="165" customFormat="false" ht="15" hidden="false" customHeight="true" outlineLevel="0" collapsed="false">
      <c r="A165" s="7"/>
      <c r="B165" s="7"/>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row>
    <row r="166" customFormat="false" ht="15" hidden="false" customHeight="true" outlineLevel="0" collapsed="false">
      <c r="A166" s="7"/>
      <c r="B166" s="7"/>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row>
    <row r="167" customFormat="false" ht="15" hidden="false" customHeight="true" outlineLevel="0" collapsed="false">
      <c r="A167" s="7"/>
      <c r="B167" s="7"/>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row>
    <row r="168" customFormat="false" ht="15" hidden="false" customHeight="true" outlineLevel="0" collapsed="false">
      <c r="A168" s="7"/>
      <c r="B168" s="7"/>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row>
    <row r="169" customFormat="false" ht="15" hidden="false" customHeight="true" outlineLevel="0" collapsed="false">
      <c r="A169" s="7"/>
      <c r="B169" s="7"/>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row>
    <row r="170" customFormat="false" ht="15" hidden="false" customHeight="true" outlineLevel="0" collapsed="false">
      <c r="A170" s="7"/>
      <c r="B170" s="7"/>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row>
    <row r="171" customFormat="false" ht="15" hidden="false" customHeight="true" outlineLevel="0" collapsed="false">
      <c r="A171" s="7"/>
      <c r="B171" s="7"/>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row>
    <row r="172" customFormat="false" ht="15" hidden="false" customHeight="true" outlineLevel="0" collapsed="false">
      <c r="A172" s="7"/>
      <c r="B172" s="7"/>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row>
    <row r="173" customFormat="false" ht="15" hidden="false" customHeight="true" outlineLevel="0" collapsed="false">
      <c r="A173" s="7"/>
      <c r="B173" s="7"/>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row>
    <row r="174" customFormat="false" ht="15" hidden="false" customHeight="true" outlineLevel="0" collapsed="false">
      <c r="A174" s="7"/>
      <c r="B174" s="7"/>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row>
    <row r="175" customFormat="false" ht="15" hidden="false" customHeight="true" outlineLevel="0" collapsed="false">
      <c r="A175" s="7"/>
      <c r="B175" s="7"/>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row>
    <row r="176" customFormat="false" ht="15" hidden="false" customHeight="true" outlineLevel="0" collapsed="false">
      <c r="A176" s="7"/>
      <c r="B176" s="7"/>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row>
    <row r="177" customFormat="false" ht="15" hidden="false" customHeight="true" outlineLevel="0" collapsed="false">
      <c r="A177" s="7"/>
      <c r="B177" s="7"/>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row>
    <row r="178" customFormat="false" ht="15" hidden="false" customHeight="true" outlineLevel="0" collapsed="false">
      <c r="A178" s="7"/>
      <c r="B178" s="7"/>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row>
    <row r="179" customFormat="false" ht="15" hidden="false" customHeight="true" outlineLevel="0" collapsed="false">
      <c r="A179" s="7"/>
      <c r="B179" s="7"/>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row>
    <row r="180" customFormat="false" ht="15" hidden="false" customHeight="true" outlineLevel="0" collapsed="false">
      <c r="A180" s="7"/>
      <c r="B180" s="7"/>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row>
    <row r="181" customFormat="false" ht="15" hidden="false" customHeight="true" outlineLevel="0" collapsed="false">
      <c r="A181" s="7"/>
      <c r="B181" s="7"/>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row>
    <row r="182" customFormat="false" ht="15" hidden="false" customHeight="true" outlineLevel="0" collapsed="false">
      <c r="A182" s="7"/>
      <c r="B182" s="7"/>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row>
    <row r="183" customFormat="false" ht="15" hidden="false" customHeight="true" outlineLevel="0" collapsed="false">
      <c r="A183" s="7"/>
      <c r="B183" s="7"/>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row>
    <row r="184" customFormat="false" ht="15" hidden="false" customHeight="true" outlineLevel="0" collapsed="false">
      <c r="A184" s="7"/>
      <c r="B184" s="7"/>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row>
    <row r="185" customFormat="false" ht="15" hidden="false" customHeight="true" outlineLevel="0" collapsed="false">
      <c r="A185" s="7"/>
      <c r="B185" s="7"/>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row>
    <row r="186" customFormat="false" ht="15" hidden="false" customHeight="true" outlineLevel="0" collapsed="false">
      <c r="A186" s="7"/>
      <c r="B186" s="7"/>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row>
    <row r="187" customFormat="false" ht="15" hidden="false" customHeight="true" outlineLevel="0" collapsed="false">
      <c r="A187" s="7"/>
      <c r="B187" s="7"/>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row>
    <row r="188" customFormat="false" ht="15" hidden="false" customHeight="true" outlineLevel="0" collapsed="false">
      <c r="A188" s="7"/>
      <c r="B188" s="7"/>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row>
    <row r="189" customFormat="false" ht="15" hidden="false" customHeight="true" outlineLevel="0" collapsed="false">
      <c r="A189" s="7"/>
      <c r="B189" s="7"/>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row>
    <row r="190" customFormat="false" ht="15" hidden="false" customHeight="true" outlineLevel="0" collapsed="false">
      <c r="A190" s="7"/>
      <c r="B190" s="7"/>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row>
    <row r="191" customFormat="false" ht="15" hidden="false" customHeight="true" outlineLevel="0" collapsed="false">
      <c r="A191" s="7"/>
      <c r="B191" s="7"/>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row>
    <row r="192" customFormat="false" ht="15" hidden="false" customHeight="true" outlineLevel="0" collapsed="false">
      <c r="A192" s="7"/>
      <c r="B192" s="7"/>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row>
    <row r="193" customFormat="false" ht="15" hidden="false" customHeight="true" outlineLevel="0" collapsed="false">
      <c r="A193" s="7"/>
      <c r="B193" s="7"/>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row>
    <row r="194" customFormat="false" ht="15" hidden="false" customHeight="true" outlineLevel="0" collapsed="false">
      <c r="A194" s="7"/>
      <c r="B194" s="7"/>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row>
    <row r="195" customFormat="false" ht="15" hidden="false" customHeight="true" outlineLevel="0" collapsed="false">
      <c r="A195" s="7"/>
      <c r="B195" s="7"/>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row>
    <row r="196" customFormat="false" ht="15" hidden="false" customHeight="true" outlineLevel="0" collapsed="false">
      <c r="A196" s="7"/>
      <c r="B196" s="7"/>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row>
    <row r="197" customFormat="false" ht="15" hidden="false" customHeight="true" outlineLevel="0" collapsed="false">
      <c r="A197" s="7"/>
      <c r="B197" s="7"/>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row>
    <row r="198" customFormat="false" ht="15" hidden="false" customHeight="true" outlineLevel="0" collapsed="false">
      <c r="A198" s="7"/>
      <c r="B198" s="7"/>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row>
    <row r="199" customFormat="false" ht="15" hidden="false" customHeight="true" outlineLevel="0" collapsed="false">
      <c r="A199" s="7"/>
      <c r="B199" s="7"/>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row>
    <row r="200" customFormat="false" ht="15" hidden="false" customHeight="true" outlineLevel="0" collapsed="false">
      <c r="A200" s="7"/>
      <c r="B200" s="7"/>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row>
  </sheetData>
  <mergeCells count="1">
    <mergeCell ref="A1:B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1" width="18"/>
    <col collapsed="false" customWidth="true" hidden="false" outlineLevel="0" max="5" min="5" style="1" width="35"/>
    <col collapsed="false" customWidth="true" hidden="false" outlineLevel="0" max="6" min="6" style="1" width="14"/>
    <col collapsed="false" customWidth="true" hidden="false" outlineLevel="0" max="7" min="7" style="1" width="35"/>
    <col collapsed="false" customWidth="true" hidden="false" outlineLevel="0" max="8" min="8" style="1" width="18"/>
    <col collapsed="false" customWidth="true" hidden="false" outlineLevel="0" max="9" min="9" style="1" width="35"/>
    <col collapsed="false" customWidth="true" hidden="false" outlineLevel="0" max="13" min="10" style="1" width="18"/>
    <col collapsed="false" customWidth="true" hidden="false" outlineLevel="0" max="23" min="14" style="1" width="14"/>
    <col collapsed="false" customWidth="true" hidden="false" outlineLevel="0" max="25" min="24" style="1" width="18"/>
    <col collapsed="false" customWidth="true" hidden="false" outlineLevel="0" max="51" min="26" style="1" width="14"/>
    <col collapsed="false" customWidth="true" hidden="false" outlineLevel="0" max="52" min="52" style="1" width="35"/>
    <col collapsed="false" customWidth="true" hidden="false" outlineLevel="0" max="62" min="53" style="1" width="14"/>
    <col collapsed="false" customWidth="true" hidden="false" outlineLevel="0" max="64" min="63" style="1" width="35"/>
    <col collapsed="false" customWidth="true" hidden="false" outlineLevel="0" max="66" min="65" style="1" width="14"/>
    <col collapsed="false" customWidth="true" hidden="false" outlineLevel="0" max="69" min="67" style="1" width="35"/>
  </cols>
  <sheetData>
    <row r="1" customFormat="false" ht="30" hidden="false" customHeight="true" outlineLevel="0" collapsed="false">
      <c r="A1" s="10" t="s">
        <v>33</v>
      </c>
      <c r="B1" s="10" t="s">
        <v>34</v>
      </c>
      <c r="C1" s="10" t="s">
        <v>35</v>
      </c>
      <c r="D1" s="10" t="s">
        <v>36</v>
      </c>
      <c r="E1" s="10" t="s">
        <v>37</v>
      </c>
      <c r="F1" s="10" t="s">
        <v>38</v>
      </c>
      <c r="G1" s="10" t="s">
        <v>39</v>
      </c>
      <c r="H1" s="10" t="s">
        <v>40</v>
      </c>
      <c r="I1" s="10" t="s">
        <v>41</v>
      </c>
      <c r="J1" s="10" t="s">
        <v>42</v>
      </c>
      <c r="K1" s="10" t="s">
        <v>43</v>
      </c>
      <c r="L1" s="10" t="s">
        <v>44</v>
      </c>
      <c r="M1" s="10" t="s">
        <v>45</v>
      </c>
      <c r="N1" s="10" t="s">
        <v>46</v>
      </c>
      <c r="O1" s="10" t="s">
        <v>47</v>
      </c>
      <c r="P1" s="10" t="s">
        <v>48</v>
      </c>
      <c r="Q1" s="10" t="s">
        <v>49</v>
      </c>
      <c r="R1" s="10" t="s">
        <v>50</v>
      </c>
      <c r="S1" s="10" t="s">
        <v>51</v>
      </c>
      <c r="T1" s="10" t="s">
        <v>52</v>
      </c>
      <c r="U1" s="10" t="s">
        <v>53</v>
      </c>
      <c r="V1" s="10" t="s">
        <v>54</v>
      </c>
      <c r="W1" s="10" t="s">
        <v>55</v>
      </c>
      <c r="X1" s="10" t="s">
        <v>56</v>
      </c>
      <c r="Y1" s="10" t="s">
        <v>57</v>
      </c>
      <c r="Z1" s="10" t="s">
        <v>58</v>
      </c>
      <c r="AA1" s="10" t="s">
        <v>59</v>
      </c>
      <c r="AB1" s="10" t="s">
        <v>60</v>
      </c>
      <c r="AC1" s="10" t="s">
        <v>61</v>
      </c>
      <c r="AD1" s="10" t="s">
        <v>62</v>
      </c>
      <c r="AE1" s="10" t="s">
        <v>63</v>
      </c>
      <c r="AF1" s="10" t="s">
        <v>64</v>
      </c>
      <c r="AG1" s="10" t="s">
        <v>65</v>
      </c>
      <c r="AH1" s="10" t="s">
        <v>66</v>
      </c>
      <c r="AI1" s="10" t="s">
        <v>67</v>
      </c>
      <c r="AJ1" s="10" t="s">
        <v>68</v>
      </c>
      <c r="AK1" s="10" t="s">
        <v>69</v>
      </c>
      <c r="AL1" s="10" t="s">
        <v>70</v>
      </c>
      <c r="AM1" s="10" t="s">
        <v>71</v>
      </c>
      <c r="AN1" s="10" t="s">
        <v>72</v>
      </c>
      <c r="AO1" s="10" t="s">
        <v>73</v>
      </c>
      <c r="AP1" s="10" t="s">
        <v>74</v>
      </c>
      <c r="AQ1" s="10" t="s">
        <v>75</v>
      </c>
      <c r="AR1" s="10" t="s">
        <v>76</v>
      </c>
      <c r="AS1" s="10" t="s">
        <v>77</v>
      </c>
      <c r="AT1" s="10" t="s">
        <v>78</v>
      </c>
      <c r="AU1" s="10" t="s">
        <v>79</v>
      </c>
      <c r="AV1" s="10" t="s">
        <v>80</v>
      </c>
      <c r="AW1" s="10" t="s">
        <v>81</v>
      </c>
      <c r="AX1" s="10" t="s">
        <v>82</v>
      </c>
      <c r="AY1" s="10" t="s">
        <v>83</v>
      </c>
      <c r="AZ1" s="10" t="s">
        <v>84</v>
      </c>
      <c r="BA1" s="10" t="s">
        <v>85</v>
      </c>
      <c r="BB1" s="10" t="s">
        <v>86</v>
      </c>
      <c r="BC1" s="10" t="s">
        <v>87</v>
      </c>
      <c r="BD1" s="10" t="s">
        <v>88</v>
      </c>
      <c r="BE1" s="10" t="s">
        <v>89</v>
      </c>
      <c r="BF1" s="10" t="s">
        <v>90</v>
      </c>
      <c r="BG1" s="10" t="s">
        <v>91</v>
      </c>
      <c r="BH1" s="10" t="s">
        <v>92</v>
      </c>
      <c r="BI1" s="10" t="s">
        <v>93</v>
      </c>
      <c r="BJ1" s="10" t="s">
        <v>94</v>
      </c>
      <c r="BK1" s="10" t="s">
        <v>95</v>
      </c>
      <c r="BL1" s="10" t="s">
        <v>96</v>
      </c>
      <c r="BM1" s="10" t="s">
        <v>97</v>
      </c>
      <c r="BN1" s="10" t="s">
        <v>98</v>
      </c>
      <c r="BO1" s="10" t="s">
        <v>99</v>
      </c>
      <c r="BP1" s="10" t="s">
        <v>100</v>
      </c>
      <c r="BQ1" s="10" t="s">
        <v>101</v>
      </c>
    </row>
    <row r="2" customFormat="false" ht="41.25" hidden="false" customHeight="true" outlineLevel="0" collapsed="false">
      <c r="A2" s="11" t="s">
        <v>102</v>
      </c>
      <c r="B2" s="11" t="s">
        <v>103</v>
      </c>
      <c r="C2" s="11" t="s">
        <v>104</v>
      </c>
      <c r="D2" s="12" t="n">
        <v>6902</v>
      </c>
      <c r="E2" s="11" t="s">
        <v>105</v>
      </c>
      <c r="F2" s="11" t="s">
        <v>106</v>
      </c>
      <c r="G2" s="11" t="s">
        <v>107</v>
      </c>
      <c r="H2" s="11" t="s">
        <v>108</v>
      </c>
      <c r="I2" s="11" t="s">
        <v>109</v>
      </c>
      <c r="J2" s="11" t="s">
        <v>110</v>
      </c>
      <c r="K2" s="11" t="s">
        <v>111</v>
      </c>
      <c r="L2" s="11" t="s">
        <v>11</v>
      </c>
      <c r="M2" s="11" t="s">
        <v>112</v>
      </c>
      <c r="N2" s="11" t="s">
        <v>113</v>
      </c>
      <c r="O2" s="11"/>
      <c r="P2" s="11"/>
      <c r="Q2" s="11"/>
      <c r="R2" s="13"/>
      <c r="S2" s="14"/>
      <c r="T2" s="14" t="n">
        <v>45259</v>
      </c>
      <c r="U2" s="14"/>
      <c r="V2" s="14"/>
      <c r="W2" s="14"/>
      <c r="X2" s="12"/>
      <c r="Y2" s="12"/>
      <c r="Z2" s="15"/>
      <c r="AA2" s="16"/>
      <c r="AB2" s="16"/>
      <c r="AC2" s="16"/>
      <c r="AD2" s="16"/>
      <c r="AE2" s="17"/>
      <c r="AF2" s="17"/>
      <c r="AG2" s="17"/>
      <c r="AH2" s="17"/>
      <c r="AI2" s="16"/>
      <c r="AJ2" s="16"/>
      <c r="AK2" s="17"/>
      <c r="AL2" s="18" t="str">
        <f aca="false">IF(AND(AD2&lt;&gt;"",AH2&lt;&gt;""),AD2/AH2,"")</f>
        <v/>
      </c>
      <c r="AM2" s="18" t="str">
        <f aca="false">IF(AND(AD2&lt;&gt;"",AI2&lt;&gt;""),AD2/AI2,"")</f>
        <v/>
      </c>
      <c r="AN2" s="18" t="str">
        <f aca="false">IF(AND(AD2&lt;&gt;"",AJ2&lt;&gt;""),AD2/AJ2,"")</f>
        <v/>
      </c>
      <c r="AO2" s="18" t="str">
        <f aca="false">IF(AND(AE2&lt;&gt;"",AK2&lt;&gt;""),AE2/AK2,"")</f>
        <v/>
      </c>
      <c r="AP2" s="16"/>
      <c r="AQ2" s="16"/>
      <c r="AR2" s="19" t="str">
        <f aca="false">IF(AND(AP2&lt;&gt;"",AQ2&lt;&gt;""),AP2/AQ2-1,"")</f>
        <v/>
      </c>
      <c r="AS2" s="16"/>
      <c r="AT2" s="16"/>
      <c r="AU2" s="20"/>
      <c r="AV2" s="20"/>
      <c r="AW2" s="11"/>
      <c r="AX2" s="15"/>
      <c r="AY2" s="11"/>
      <c r="AZ2" s="11"/>
      <c r="BA2" s="21"/>
      <c r="BB2" s="22"/>
      <c r="BC2" s="22"/>
      <c r="BD2" s="23"/>
      <c r="BE2" s="23"/>
      <c r="BF2" s="23"/>
      <c r="BG2" s="23"/>
      <c r="BH2" s="23"/>
      <c r="BI2" s="23"/>
      <c r="BJ2" s="23"/>
      <c r="BK2" s="24" t="s">
        <v>114</v>
      </c>
      <c r="BL2" s="24" t="s">
        <v>115</v>
      </c>
      <c r="BM2" s="24" t="s">
        <v>116</v>
      </c>
      <c r="BN2" s="24" t="s">
        <v>117</v>
      </c>
      <c r="BO2" s="24" t="s">
        <v>118</v>
      </c>
      <c r="BP2" s="24"/>
      <c r="BQ2" s="24" t="s">
        <v>119</v>
      </c>
    </row>
    <row r="3" customFormat="false" ht="68.25" hidden="false" customHeight="true" outlineLevel="0" collapsed="false">
      <c r="A3" s="11" t="s">
        <v>120</v>
      </c>
      <c r="B3" s="11" t="s">
        <v>103</v>
      </c>
      <c r="C3" s="11" t="s">
        <v>104</v>
      </c>
      <c r="D3" s="12" t="n">
        <v>6201</v>
      </c>
      <c r="E3" s="11" t="s">
        <v>121</v>
      </c>
      <c r="F3" s="11" t="s">
        <v>122</v>
      </c>
      <c r="G3" s="11" t="s">
        <v>123</v>
      </c>
      <c r="H3" s="11" t="s">
        <v>108</v>
      </c>
      <c r="I3" s="11" t="s">
        <v>109</v>
      </c>
      <c r="J3" s="11" t="s">
        <v>110</v>
      </c>
      <c r="K3" s="11" t="s">
        <v>111</v>
      </c>
      <c r="L3" s="11" t="s">
        <v>13</v>
      </c>
      <c r="M3" s="11" t="s">
        <v>124</v>
      </c>
      <c r="N3" s="11" t="s">
        <v>125</v>
      </c>
      <c r="O3" s="11" t="s">
        <v>125</v>
      </c>
      <c r="P3" s="11" t="s">
        <v>125</v>
      </c>
      <c r="Q3" s="11" t="s">
        <v>125</v>
      </c>
      <c r="R3" s="13"/>
      <c r="S3" s="14"/>
      <c r="T3" s="14" t="n">
        <v>45380</v>
      </c>
      <c r="U3" s="14"/>
      <c r="V3" s="14"/>
      <c r="W3" s="14" t="n">
        <v>45380</v>
      </c>
      <c r="X3" s="12" t="s">
        <v>126</v>
      </c>
      <c r="Y3" s="12"/>
      <c r="Z3" s="15"/>
      <c r="AA3" s="16"/>
      <c r="AB3" s="16"/>
      <c r="AC3" s="16"/>
      <c r="AD3" s="16" t="n">
        <v>29647895</v>
      </c>
      <c r="AE3" s="17"/>
      <c r="AF3" s="17" t="n">
        <v>29647895</v>
      </c>
      <c r="AG3" s="17" t="n">
        <v>0</v>
      </c>
      <c r="AH3" s="17"/>
      <c r="AI3" s="16"/>
      <c r="AJ3" s="16"/>
      <c r="AK3" s="17"/>
      <c r="AL3" s="18" t="str">
        <f aca="false">IF(AND(AD3&lt;&gt;"",AH3&lt;&gt;""),AD3/AH3,"")</f>
        <v/>
      </c>
      <c r="AM3" s="18" t="str">
        <f aca="false">IF(AND(AD3&lt;&gt;"",AI3&lt;&gt;""),AD3/AI3,"")</f>
        <v/>
      </c>
      <c r="AN3" s="18" t="str">
        <f aca="false">IF(AND(AD3&lt;&gt;"",AJ3&lt;&gt;""),AD3/AJ3,"")</f>
        <v/>
      </c>
      <c r="AO3" s="18" t="str">
        <f aca="false">IF(AND(AE3&lt;&gt;"",AK3&lt;&gt;""),AE3/AK3,"")</f>
        <v/>
      </c>
      <c r="AP3" s="16"/>
      <c r="AQ3" s="16"/>
      <c r="AR3" s="19" t="str">
        <f aca="false">IF(AND(AP3&lt;&gt;"",AQ3&lt;&gt;""),AP3/AQ3-1,"")</f>
        <v/>
      </c>
      <c r="AS3" s="16"/>
      <c r="AT3" s="16"/>
      <c r="AU3" s="20" t="s">
        <v>127</v>
      </c>
      <c r="AV3" s="20" t="s">
        <v>128</v>
      </c>
      <c r="AW3" s="11"/>
      <c r="AX3" s="15"/>
      <c r="AY3" s="11"/>
      <c r="AZ3" s="11"/>
      <c r="BA3" s="21"/>
      <c r="BB3" s="22"/>
      <c r="BC3" s="22"/>
      <c r="BD3" s="23"/>
      <c r="BE3" s="23"/>
      <c r="BF3" s="23"/>
      <c r="BG3" s="23"/>
      <c r="BH3" s="23"/>
      <c r="BI3" s="23"/>
      <c r="BJ3" s="23"/>
      <c r="BK3" s="24" t="s">
        <v>129</v>
      </c>
      <c r="BL3" s="24" t="s">
        <v>130</v>
      </c>
      <c r="BM3" s="24" t="s">
        <v>131</v>
      </c>
      <c r="BN3" s="24" t="s">
        <v>132</v>
      </c>
      <c r="BO3" s="24" t="s">
        <v>133</v>
      </c>
      <c r="BP3" s="24"/>
      <c r="BQ3" s="24" t="s">
        <v>134</v>
      </c>
    </row>
    <row r="4" customFormat="false" ht="75" hidden="false" customHeight="true" outlineLevel="0" collapsed="false">
      <c r="A4" s="11" t="s">
        <v>135</v>
      </c>
      <c r="B4" s="11" t="s">
        <v>103</v>
      </c>
      <c r="C4" s="11" t="s">
        <v>104</v>
      </c>
      <c r="D4" s="12" t="n">
        <v>7259</v>
      </c>
      <c r="E4" s="11" t="s">
        <v>136</v>
      </c>
      <c r="F4" s="11" t="s">
        <v>122</v>
      </c>
      <c r="G4" s="11" t="s">
        <v>137</v>
      </c>
      <c r="H4" s="11" t="s">
        <v>108</v>
      </c>
      <c r="I4" s="11" t="s">
        <v>109</v>
      </c>
      <c r="J4" s="11" t="s">
        <v>110</v>
      </c>
      <c r="K4" s="11" t="s">
        <v>111</v>
      </c>
      <c r="L4" s="11" t="s">
        <v>11</v>
      </c>
      <c r="M4" s="11" t="s">
        <v>112</v>
      </c>
      <c r="N4" s="11" t="s">
        <v>113</v>
      </c>
      <c r="O4" s="11" t="s">
        <v>113</v>
      </c>
      <c r="P4" s="11"/>
      <c r="Q4" s="11"/>
      <c r="R4" s="13"/>
      <c r="S4" s="14"/>
      <c r="T4" s="14" t="n">
        <v>45470</v>
      </c>
      <c r="U4" s="14"/>
      <c r="V4" s="14"/>
      <c r="W4" s="14"/>
      <c r="X4" s="12" t="s">
        <v>126</v>
      </c>
      <c r="Y4" s="12"/>
      <c r="Z4" s="15"/>
      <c r="AA4" s="16"/>
      <c r="AB4" s="16" t="n">
        <v>5079300</v>
      </c>
      <c r="AC4" s="16"/>
      <c r="AD4" s="16" t="n">
        <v>33862500</v>
      </c>
      <c r="AE4" s="17"/>
      <c r="AF4" s="17"/>
      <c r="AG4" s="17"/>
      <c r="AH4" s="17"/>
      <c r="AI4" s="16"/>
      <c r="AJ4" s="16"/>
      <c r="AK4" s="17"/>
      <c r="AL4" s="18" t="str">
        <f aca="false">IF(AND(AD4&lt;&gt;"",AH4&lt;&gt;""),AD4/AH4,"")</f>
        <v/>
      </c>
      <c r="AM4" s="18" t="str">
        <f aca="false">IF(AND(AD4&lt;&gt;"",AI4&lt;&gt;""),AD4/AI4,"")</f>
        <v/>
      </c>
      <c r="AN4" s="18" t="str">
        <f aca="false">IF(AND(AD4&lt;&gt;"",AJ4&lt;&gt;""),AD4/AJ4,"")</f>
        <v/>
      </c>
      <c r="AO4" s="18" t="str">
        <f aca="false">IF(AND(AE4&lt;&gt;"",AK4&lt;&gt;""),AE4/AK4,"")</f>
        <v/>
      </c>
      <c r="AP4" s="16"/>
      <c r="AQ4" s="16"/>
      <c r="AR4" s="19" t="str">
        <f aca="false">IF(AND(AP4&lt;&gt;"",AQ4&lt;&gt;""),AP4/AQ4-1,"")</f>
        <v/>
      </c>
      <c r="AS4" s="16" t="n">
        <v>17000000</v>
      </c>
      <c r="AT4" s="16" t="n">
        <v>100000000000</v>
      </c>
      <c r="AU4" s="20" t="s">
        <v>138</v>
      </c>
      <c r="AV4" s="20" t="s">
        <v>139</v>
      </c>
      <c r="AW4" s="11"/>
      <c r="AX4" s="15"/>
      <c r="AY4" s="11"/>
      <c r="AZ4" s="11"/>
      <c r="BA4" s="21"/>
      <c r="BB4" s="22"/>
      <c r="BC4" s="22"/>
      <c r="BD4" s="23"/>
      <c r="BE4" s="23"/>
      <c r="BF4" s="23"/>
      <c r="BG4" s="23"/>
      <c r="BH4" s="23"/>
      <c r="BI4" s="23"/>
      <c r="BJ4" s="23"/>
      <c r="BK4" s="24" t="s">
        <v>140</v>
      </c>
      <c r="BL4" s="24" t="s">
        <v>141</v>
      </c>
      <c r="BM4" s="24" t="s">
        <v>131</v>
      </c>
      <c r="BN4" s="24" t="s">
        <v>132</v>
      </c>
      <c r="BO4" s="24" t="s">
        <v>142</v>
      </c>
      <c r="BP4" s="24" t="s">
        <v>143</v>
      </c>
      <c r="BQ4" s="24" t="s">
        <v>144</v>
      </c>
    </row>
    <row r="5" customFormat="false" ht="95.25" hidden="false" customHeight="true" outlineLevel="0" collapsed="false">
      <c r="A5" s="11" t="s">
        <v>145</v>
      </c>
      <c r="B5" s="11" t="s">
        <v>103</v>
      </c>
      <c r="C5" s="11" t="s">
        <v>104</v>
      </c>
      <c r="D5" s="12" t="n">
        <v>7267</v>
      </c>
      <c r="E5" s="11" t="s">
        <v>146</v>
      </c>
      <c r="F5" s="11" t="s">
        <v>106</v>
      </c>
      <c r="G5" s="11" t="s">
        <v>147</v>
      </c>
      <c r="H5" s="11" t="s">
        <v>148</v>
      </c>
      <c r="I5" s="11" t="s">
        <v>149</v>
      </c>
      <c r="J5" s="11" t="s">
        <v>110</v>
      </c>
      <c r="K5" s="11" t="s">
        <v>111</v>
      </c>
      <c r="L5" s="11" t="s">
        <v>11</v>
      </c>
      <c r="M5" s="11" t="s">
        <v>112</v>
      </c>
      <c r="N5" s="11" t="s">
        <v>113</v>
      </c>
      <c r="O5" s="11" t="s">
        <v>113</v>
      </c>
      <c r="P5" s="11"/>
      <c r="Q5" s="11" t="s">
        <v>113</v>
      </c>
      <c r="R5" s="13"/>
      <c r="S5" s="14"/>
      <c r="T5" s="14" t="n">
        <v>45477</v>
      </c>
      <c r="U5" s="14"/>
      <c r="V5" s="14"/>
      <c r="W5" s="14"/>
      <c r="X5" s="12" t="s">
        <v>126</v>
      </c>
      <c r="Y5" s="12" t="s">
        <v>150</v>
      </c>
      <c r="Z5" s="15"/>
      <c r="AA5" s="16"/>
      <c r="AB5" s="16" t="n">
        <v>38981900</v>
      </c>
      <c r="AC5" s="16"/>
      <c r="AD5" s="16" t="n">
        <v>259879700</v>
      </c>
      <c r="AE5" s="17" t="n">
        <v>535000000000</v>
      </c>
      <c r="AF5" s="17"/>
      <c r="AG5" s="17"/>
      <c r="AH5" s="17"/>
      <c r="AI5" s="16"/>
      <c r="AJ5" s="16"/>
      <c r="AK5" s="17"/>
      <c r="AL5" s="18" t="str">
        <f aca="false">IF(AND(AD5&lt;&gt;"",AH5&lt;&gt;""),AD5/AH5,"")</f>
        <v/>
      </c>
      <c r="AM5" s="18" t="str">
        <f aca="false">IF(AND(AD5&lt;&gt;"",AI5&lt;&gt;""),AD5/AI5,"")</f>
        <v/>
      </c>
      <c r="AN5" s="18" t="str">
        <f aca="false">IF(AND(AD5&lt;&gt;"",AJ5&lt;&gt;""),AD5/AJ5,"")</f>
        <v/>
      </c>
      <c r="AO5" s="18" t="str">
        <f aca="false">IF(AND(AE5&lt;&gt;"",AK5&lt;&gt;""),AE5/AK5,"")</f>
        <v/>
      </c>
      <c r="AP5" s="16"/>
      <c r="AQ5" s="16"/>
      <c r="AR5" s="19" t="str">
        <f aca="false">IF(AND(AP5&lt;&gt;"",AQ5&lt;&gt;""),AP5/AQ5-1,"")</f>
        <v/>
      </c>
      <c r="AS5" s="16" t="n">
        <v>180000000</v>
      </c>
      <c r="AT5" s="16" t="n">
        <v>300000000000</v>
      </c>
      <c r="AU5" s="20" t="s">
        <v>151</v>
      </c>
      <c r="AV5" s="20" t="s">
        <v>152</v>
      </c>
      <c r="AW5" s="11"/>
      <c r="AX5" s="15"/>
      <c r="AY5" s="11"/>
      <c r="AZ5" s="11"/>
      <c r="BA5" s="21"/>
      <c r="BB5" s="22"/>
      <c r="BC5" s="22"/>
      <c r="BD5" s="23"/>
      <c r="BE5" s="23"/>
      <c r="BF5" s="23"/>
      <c r="BG5" s="23"/>
      <c r="BH5" s="23"/>
      <c r="BI5" s="23"/>
      <c r="BJ5" s="23"/>
      <c r="BK5" s="24" t="s">
        <v>153</v>
      </c>
      <c r="BL5" s="24" t="s">
        <v>154</v>
      </c>
      <c r="BM5" s="24" t="s">
        <v>131</v>
      </c>
      <c r="BN5" s="24" t="s">
        <v>132</v>
      </c>
      <c r="BO5" s="24" t="s">
        <v>155</v>
      </c>
      <c r="BP5" s="24" t="s">
        <v>156</v>
      </c>
      <c r="BQ5" s="24" t="s">
        <v>157</v>
      </c>
    </row>
    <row r="6" customFormat="false" ht="122.25" hidden="false" customHeight="true" outlineLevel="0" collapsed="false">
      <c r="A6" s="11" t="s">
        <v>158</v>
      </c>
      <c r="B6" s="11" t="s">
        <v>103</v>
      </c>
      <c r="C6" s="11" t="s">
        <v>104</v>
      </c>
      <c r="D6" s="12" t="n">
        <v>8154</v>
      </c>
      <c r="E6" s="11" t="s">
        <v>159</v>
      </c>
      <c r="F6" s="11" t="s">
        <v>106</v>
      </c>
      <c r="G6" s="11" t="s">
        <v>160</v>
      </c>
      <c r="H6" s="11" t="s">
        <v>161</v>
      </c>
      <c r="I6" s="11" t="s">
        <v>162</v>
      </c>
      <c r="J6" s="11" t="s">
        <v>110</v>
      </c>
      <c r="K6" s="11" t="s">
        <v>163</v>
      </c>
      <c r="L6" s="11" t="s">
        <v>12</v>
      </c>
      <c r="M6" s="11" t="s">
        <v>164</v>
      </c>
      <c r="N6" s="11" t="s">
        <v>113</v>
      </c>
      <c r="O6" s="11" t="s">
        <v>125</v>
      </c>
      <c r="P6" s="11"/>
      <c r="Q6" s="11" t="s">
        <v>125</v>
      </c>
      <c r="R6" s="13"/>
      <c r="S6" s="14"/>
      <c r="T6" s="14" t="n">
        <v>45876</v>
      </c>
      <c r="U6" s="14"/>
      <c r="V6" s="14"/>
      <c r="W6" s="14" t="n">
        <v>45877</v>
      </c>
      <c r="X6" s="12" t="s">
        <v>165</v>
      </c>
      <c r="Y6" s="12" t="s">
        <v>165</v>
      </c>
      <c r="Z6" s="15"/>
      <c r="AA6" s="16"/>
      <c r="AB6" s="16"/>
      <c r="AC6" s="16"/>
      <c r="AD6" s="16" t="n">
        <v>4920000</v>
      </c>
      <c r="AE6" s="17" t="n">
        <v>15000000000</v>
      </c>
      <c r="AF6" s="17"/>
      <c r="AG6" s="17"/>
      <c r="AH6" s="17"/>
      <c r="AI6" s="16"/>
      <c r="AJ6" s="16"/>
      <c r="AK6" s="17"/>
      <c r="AL6" s="18" t="str">
        <f aca="false">IF(AND(AD6&lt;&gt;"",AH6&lt;&gt;""),AD6/AH6,"")</f>
        <v/>
      </c>
      <c r="AM6" s="18" t="str">
        <f aca="false">IF(AND(AD6&lt;&gt;"",AI6&lt;&gt;""),AD6/AI6,"")</f>
        <v/>
      </c>
      <c r="AN6" s="18" t="str">
        <f aca="false">IF(AND(AD6&lt;&gt;"",AJ6&lt;&gt;""),AD6/AJ6,"")</f>
        <v/>
      </c>
      <c r="AO6" s="18" t="str">
        <f aca="false">IF(AND(AE6&lt;&gt;"",AK6&lt;&gt;""),AE6/AK6,"")</f>
        <v/>
      </c>
      <c r="AP6" s="16"/>
      <c r="AQ6" s="16" t="n">
        <v>2938</v>
      </c>
      <c r="AR6" s="19" t="str">
        <f aca="false">IF(AND(AP6&lt;&gt;"",AQ6&lt;&gt;""),AP6/AQ6-1,"")</f>
        <v/>
      </c>
      <c r="AS6" s="16" t="n">
        <v>4920000</v>
      </c>
      <c r="AT6" s="16" t="n">
        <v>15000000000</v>
      </c>
      <c r="AU6" s="20" t="s">
        <v>166</v>
      </c>
      <c r="AV6" s="20" t="s">
        <v>167</v>
      </c>
      <c r="AW6" s="11"/>
      <c r="AX6" s="15"/>
      <c r="AY6" s="11"/>
      <c r="AZ6" s="11"/>
      <c r="BA6" s="21"/>
      <c r="BB6" s="22"/>
      <c r="BC6" s="22"/>
      <c r="BD6" s="23"/>
      <c r="BE6" s="23"/>
      <c r="BF6" s="23"/>
      <c r="BG6" s="23"/>
      <c r="BH6" s="23"/>
      <c r="BI6" s="23"/>
      <c r="BJ6" s="23"/>
      <c r="BK6" s="24" t="s">
        <v>168</v>
      </c>
      <c r="BL6" s="24" t="s">
        <v>169</v>
      </c>
      <c r="BM6" s="24" t="s">
        <v>131</v>
      </c>
      <c r="BN6" s="24" t="s">
        <v>132</v>
      </c>
      <c r="BO6" s="24" t="s">
        <v>170</v>
      </c>
      <c r="BP6" s="24"/>
      <c r="BQ6" s="24" t="s">
        <v>171</v>
      </c>
    </row>
    <row r="7" customFormat="false" ht="81.75" hidden="false" customHeight="true" outlineLevel="0" collapsed="false">
      <c r="A7" s="11" t="s">
        <v>172</v>
      </c>
      <c r="B7" s="11" t="s">
        <v>103</v>
      </c>
      <c r="C7" s="11" t="s">
        <v>104</v>
      </c>
      <c r="D7" s="12" t="n">
        <v>3950</v>
      </c>
      <c r="E7" s="11" t="s">
        <v>173</v>
      </c>
      <c r="F7" s="11" t="s">
        <v>106</v>
      </c>
      <c r="G7" s="11" t="s">
        <v>174</v>
      </c>
      <c r="H7" s="11" t="s">
        <v>17</v>
      </c>
      <c r="I7" s="11" t="s">
        <v>175</v>
      </c>
      <c r="J7" s="11" t="s">
        <v>110</v>
      </c>
      <c r="K7" s="11" t="s">
        <v>111</v>
      </c>
      <c r="L7" s="11" t="s">
        <v>11</v>
      </c>
      <c r="M7" s="11" t="s">
        <v>112</v>
      </c>
      <c r="N7" s="11" t="s">
        <v>113</v>
      </c>
      <c r="O7" s="11" t="s">
        <v>113</v>
      </c>
      <c r="P7" s="11" t="s">
        <v>113</v>
      </c>
      <c r="Q7" s="11" t="s">
        <v>113</v>
      </c>
      <c r="R7" s="13"/>
      <c r="S7" s="14"/>
      <c r="T7" s="14" t="n">
        <v>45898</v>
      </c>
      <c r="U7" s="14"/>
      <c r="V7" s="14"/>
      <c r="W7" s="14"/>
      <c r="X7" s="12" t="s">
        <v>126</v>
      </c>
      <c r="Y7" s="12"/>
      <c r="Z7" s="15"/>
      <c r="AA7" s="16"/>
      <c r="AB7" s="16"/>
      <c r="AC7" s="16"/>
      <c r="AD7" s="16" t="n">
        <v>3720400</v>
      </c>
      <c r="AE7" s="17"/>
      <c r="AF7" s="17"/>
      <c r="AG7" s="17"/>
      <c r="AH7" s="17"/>
      <c r="AI7" s="16"/>
      <c r="AJ7" s="16"/>
      <c r="AK7" s="17"/>
      <c r="AL7" s="18" t="str">
        <f aca="false">IF(AND(AD7&lt;&gt;"",AH7&lt;&gt;""),AD7/AH7,"")</f>
        <v/>
      </c>
      <c r="AM7" s="18" t="str">
        <f aca="false">IF(AND(AD7&lt;&gt;"",AI7&lt;&gt;""),AD7/AI7,"")</f>
        <v/>
      </c>
      <c r="AN7" s="18" t="str">
        <f aca="false">IF(AND(AD7&lt;&gt;"",AJ7&lt;&gt;""),AD7/AJ7,"")</f>
        <v/>
      </c>
      <c r="AO7" s="18" t="str">
        <f aca="false">IF(AND(AE7&lt;&gt;"",AK7&lt;&gt;""),AE7/AK7,"")</f>
        <v/>
      </c>
      <c r="AP7" s="16"/>
      <c r="AQ7" s="16"/>
      <c r="AR7" s="19" t="str">
        <f aca="false">IF(AND(AP7&lt;&gt;"",AQ7&lt;&gt;""),AP7/AQ7-1,"")</f>
        <v/>
      </c>
      <c r="AS7" s="16" t="n">
        <v>900000</v>
      </c>
      <c r="AT7" s="16" t="n">
        <v>1000000000</v>
      </c>
      <c r="AU7" s="20" t="s">
        <v>176</v>
      </c>
      <c r="AV7" s="20" t="s">
        <v>177</v>
      </c>
      <c r="AW7" s="11"/>
      <c r="AX7" s="15"/>
      <c r="AY7" s="11"/>
      <c r="AZ7" s="11"/>
      <c r="BA7" s="21"/>
      <c r="BB7" s="22"/>
      <c r="BC7" s="22"/>
      <c r="BD7" s="23"/>
      <c r="BE7" s="23"/>
      <c r="BF7" s="23"/>
      <c r="BG7" s="23"/>
      <c r="BH7" s="23"/>
      <c r="BI7" s="23"/>
      <c r="BJ7" s="23"/>
      <c r="BK7" s="24" t="s">
        <v>178</v>
      </c>
      <c r="BL7" s="24" t="s">
        <v>179</v>
      </c>
      <c r="BM7" s="24" t="s">
        <v>180</v>
      </c>
      <c r="BN7" s="24" t="s">
        <v>117</v>
      </c>
      <c r="BO7" s="24" t="s">
        <v>181</v>
      </c>
      <c r="BP7" s="24"/>
      <c r="BQ7" s="24" t="s">
        <v>182</v>
      </c>
    </row>
    <row r="8" customFormat="false" ht="75" hidden="false" customHeight="true" outlineLevel="0" collapsed="false">
      <c r="A8" s="11" t="s">
        <v>183</v>
      </c>
      <c r="B8" s="11" t="s">
        <v>103</v>
      </c>
      <c r="C8" s="11" t="s">
        <v>104</v>
      </c>
      <c r="D8" s="12" t="n">
        <v>4246</v>
      </c>
      <c r="E8" s="11" t="s">
        <v>184</v>
      </c>
      <c r="F8" s="11" t="s">
        <v>106</v>
      </c>
      <c r="G8" s="11" t="s">
        <v>185</v>
      </c>
      <c r="H8" s="11" t="s">
        <v>186</v>
      </c>
      <c r="I8" s="11" t="s">
        <v>187</v>
      </c>
      <c r="J8" s="11" t="s">
        <v>110</v>
      </c>
      <c r="K8" s="11" t="s">
        <v>111</v>
      </c>
      <c r="L8" s="11" t="s">
        <v>11</v>
      </c>
      <c r="M8" s="11" t="s">
        <v>112</v>
      </c>
      <c r="N8" s="11" t="s">
        <v>113</v>
      </c>
      <c r="O8" s="11"/>
      <c r="P8" s="11"/>
      <c r="Q8" s="11"/>
      <c r="R8" s="13"/>
      <c r="S8" s="14"/>
      <c r="T8" s="14" t="n">
        <v>46041</v>
      </c>
      <c r="U8" s="14"/>
      <c r="V8" s="14" t="n">
        <v>46048</v>
      </c>
      <c r="W8" s="14"/>
      <c r="X8" s="12" t="s">
        <v>126</v>
      </c>
      <c r="Y8" s="12"/>
      <c r="Z8" s="15"/>
      <c r="AA8" s="16"/>
      <c r="AB8" s="16"/>
      <c r="AC8" s="16"/>
      <c r="AD8" s="16" t="n">
        <v>3550000</v>
      </c>
      <c r="AE8" s="17" t="n">
        <v>2801944000</v>
      </c>
      <c r="AF8" s="17" t="n">
        <v>9450000</v>
      </c>
      <c r="AG8" s="17" t="n">
        <v>5900000</v>
      </c>
      <c r="AH8" s="17"/>
      <c r="AI8" s="16"/>
      <c r="AJ8" s="16"/>
      <c r="AK8" s="17"/>
      <c r="AL8" s="18" t="str">
        <f aca="false">IF(AND(AD8&lt;&gt;"",AH8&lt;&gt;""),AD8/AH8,"")</f>
        <v/>
      </c>
      <c r="AM8" s="18" t="str">
        <f aca="false">IF(AND(AD8&lt;&gt;"",AI8&lt;&gt;""),AD8/AI8,"")</f>
        <v/>
      </c>
      <c r="AN8" s="18" t="str">
        <f aca="false">IF(AND(AD8&lt;&gt;"",AJ8&lt;&gt;""),AD8/AJ8,"")</f>
        <v/>
      </c>
      <c r="AO8" s="18" t="str">
        <f aca="false">IF(AND(AE8&lt;&gt;"",AK8&lt;&gt;""),AE8/AK8,"")</f>
        <v/>
      </c>
      <c r="AP8" s="16" t="n">
        <v>789.28</v>
      </c>
      <c r="AQ8" s="16"/>
      <c r="AR8" s="19" t="str">
        <f aca="false">IF(AND(AP8&lt;&gt;"",AQ8&lt;&gt;""),AP8/AQ8-1,"")</f>
        <v/>
      </c>
      <c r="AS8" s="16"/>
      <c r="AT8" s="16"/>
      <c r="AU8" s="20" t="s">
        <v>188</v>
      </c>
      <c r="AV8" s="20" t="s">
        <v>189</v>
      </c>
      <c r="AW8" s="11"/>
      <c r="AX8" s="15"/>
      <c r="AY8" s="11"/>
      <c r="AZ8" s="11"/>
      <c r="BA8" s="21"/>
      <c r="BB8" s="22"/>
      <c r="BC8" s="22"/>
      <c r="BD8" s="23"/>
      <c r="BE8" s="23"/>
      <c r="BF8" s="23"/>
      <c r="BG8" s="23"/>
      <c r="BH8" s="23"/>
      <c r="BI8" s="23"/>
      <c r="BJ8" s="23"/>
      <c r="BK8" s="24" t="s">
        <v>190</v>
      </c>
      <c r="BL8" s="24" t="s">
        <v>191</v>
      </c>
      <c r="BM8" s="24" t="s">
        <v>131</v>
      </c>
      <c r="BN8" s="24" t="s">
        <v>132</v>
      </c>
      <c r="BO8" s="24" t="s">
        <v>192</v>
      </c>
      <c r="BP8" s="24"/>
      <c r="BQ8" s="24" t="s">
        <v>193</v>
      </c>
    </row>
    <row r="9" customFormat="false" ht="138" hidden="false" customHeight="true" outlineLevel="0" collapsed="false">
      <c r="A9" s="11" t="s">
        <v>194</v>
      </c>
      <c r="B9" s="11" t="s">
        <v>103</v>
      </c>
      <c r="C9" s="11" t="s">
        <v>104</v>
      </c>
      <c r="D9" s="12" t="n">
        <v>7974</v>
      </c>
      <c r="E9" s="11" t="s">
        <v>195</v>
      </c>
      <c r="F9" s="11" t="s">
        <v>106</v>
      </c>
      <c r="G9" s="11" t="s">
        <v>196</v>
      </c>
      <c r="H9" s="11" t="s">
        <v>148</v>
      </c>
      <c r="I9" s="11" t="s">
        <v>197</v>
      </c>
      <c r="J9" s="11" t="s">
        <v>110</v>
      </c>
      <c r="K9" s="11" t="s">
        <v>111</v>
      </c>
      <c r="L9" s="11" t="s">
        <v>11</v>
      </c>
      <c r="M9" s="11" t="s">
        <v>112</v>
      </c>
      <c r="N9" s="11" t="s">
        <v>113</v>
      </c>
      <c r="O9" s="11" t="s">
        <v>113</v>
      </c>
      <c r="P9" s="11"/>
      <c r="Q9" s="11" t="s">
        <v>113</v>
      </c>
      <c r="R9" s="13" t="s">
        <v>198</v>
      </c>
      <c r="S9" s="14" t="s">
        <v>113</v>
      </c>
      <c r="T9" s="14" t="n">
        <v>46080</v>
      </c>
      <c r="U9" s="14"/>
      <c r="V9" s="14"/>
      <c r="W9" s="14"/>
      <c r="X9" s="12" t="s">
        <v>126</v>
      </c>
      <c r="Y9" s="12" t="s">
        <v>150</v>
      </c>
      <c r="Z9" s="15" t="n">
        <v>32697900</v>
      </c>
      <c r="AA9" s="16"/>
      <c r="AB9" s="16" t="n">
        <v>4904600</v>
      </c>
      <c r="AC9" s="16"/>
      <c r="AD9" s="16" t="n">
        <v>32697900</v>
      </c>
      <c r="AE9" s="17" t="n">
        <v>290000000000</v>
      </c>
      <c r="AF9" s="17"/>
      <c r="AG9" s="17"/>
      <c r="AH9" s="17"/>
      <c r="AI9" s="16"/>
      <c r="AJ9" s="16"/>
      <c r="AK9" s="17"/>
      <c r="AL9" s="18" t="str">
        <f aca="false">IF(AND(AD9&lt;&gt;"",AH9&lt;&gt;""),AD9/AH9,"")</f>
        <v/>
      </c>
      <c r="AM9" s="18" t="str">
        <f aca="false">IF(AND(AD9&lt;&gt;"",AI9&lt;&gt;""),AD9/AI9,"")</f>
        <v/>
      </c>
      <c r="AN9" s="18" t="str">
        <f aca="false">IF(AND(AD9&lt;&gt;"",AJ9&lt;&gt;""),AD9/AJ9,"")</f>
        <v/>
      </c>
      <c r="AO9" s="18" t="str">
        <f aca="false">IF(AND(AE9&lt;&gt;"",AK9&lt;&gt;""),AE9/AK9,"")</f>
        <v/>
      </c>
      <c r="AP9" s="16"/>
      <c r="AQ9" s="16"/>
      <c r="AR9" s="19" t="str">
        <f aca="false">IF(AND(AP9&lt;&gt;"",AQ9&lt;&gt;""),AP9/AQ9-1,"")</f>
        <v/>
      </c>
      <c r="AS9" s="16" t="n">
        <v>14000000</v>
      </c>
      <c r="AT9" s="16" t="n">
        <v>100000000000</v>
      </c>
      <c r="AU9" s="20" t="s">
        <v>166</v>
      </c>
      <c r="AV9" s="20" t="s">
        <v>199</v>
      </c>
      <c r="AW9" s="11" t="s">
        <v>113</v>
      </c>
      <c r="AX9" s="15"/>
      <c r="AY9" s="11"/>
      <c r="AZ9" s="25" t="s">
        <v>200</v>
      </c>
      <c r="BA9" s="21" t="s">
        <v>113</v>
      </c>
      <c r="BB9" s="22"/>
      <c r="BC9" s="22"/>
      <c r="BD9" s="23"/>
      <c r="BE9" s="23"/>
      <c r="BF9" s="23"/>
      <c r="BG9" s="23"/>
      <c r="BH9" s="23"/>
      <c r="BI9" s="23"/>
      <c r="BJ9" s="23"/>
      <c r="BK9" s="24" t="s">
        <v>201</v>
      </c>
      <c r="BL9" s="24" t="s">
        <v>202</v>
      </c>
      <c r="BM9" s="24" t="s">
        <v>131</v>
      </c>
      <c r="BN9" s="24" t="s">
        <v>132</v>
      </c>
      <c r="BO9" s="24" t="s">
        <v>203</v>
      </c>
      <c r="BP9" s="24" t="s">
        <v>204</v>
      </c>
      <c r="BQ9" s="24" t="s">
        <v>205</v>
      </c>
    </row>
    <row r="10" customFormat="false" ht="120" hidden="false" customHeight="true" outlineLevel="0" collapsed="false">
      <c r="A10" s="11" t="s">
        <v>194</v>
      </c>
      <c r="B10" s="11" t="s">
        <v>206</v>
      </c>
      <c r="C10" s="11" t="s">
        <v>104</v>
      </c>
      <c r="D10" s="12" t="n">
        <v>7974</v>
      </c>
      <c r="E10" s="11" t="s">
        <v>195</v>
      </c>
      <c r="F10" s="11" t="s">
        <v>106</v>
      </c>
      <c r="G10" s="11" t="s">
        <v>207</v>
      </c>
      <c r="H10" s="11" t="s">
        <v>186</v>
      </c>
      <c r="I10" s="11" t="s">
        <v>208</v>
      </c>
      <c r="J10" s="11" t="s">
        <v>110</v>
      </c>
      <c r="K10" s="11" t="s">
        <v>209</v>
      </c>
      <c r="L10" s="11" t="s">
        <v>12</v>
      </c>
      <c r="M10" s="11" t="s">
        <v>164</v>
      </c>
      <c r="N10" s="11" t="s">
        <v>113</v>
      </c>
      <c r="O10" s="11" t="s">
        <v>125</v>
      </c>
      <c r="P10" s="11"/>
      <c r="Q10" s="11" t="s">
        <v>125</v>
      </c>
      <c r="R10" s="13"/>
      <c r="S10" s="14"/>
      <c r="T10" s="14" t="n">
        <v>46084</v>
      </c>
      <c r="U10" s="14"/>
      <c r="V10" s="14"/>
      <c r="W10" s="14" t="n">
        <v>46084</v>
      </c>
      <c r="X10" s="12" t="s">
        <v>210</v>
      </c>
      <c r="Y10" s="12" t="s">
        <v>210</v>
      </c>
      <c r="Z10" s="15"/>
      <c r="AA10" s="16"/>
      <c r="AB10" s="16"/>
      <c r="AC10" s="16"/>
      <c r="AD10" s="16" t="n">
        <v>1657400</v>
      </c>
      <c r="AE10" s="17" t="n">
        <v>14500000000</v>
      </c>
      <c r="AF10" s="17" t="n">
        <v>8797000</v>
      </c>
      <c r="AG10" s="17" t="n">
        <v>7139600</v>
      </c>
      <c r="AH10" s="17"/>
      <c r="AI10" s="16"/>
      <c r="AJ10" s="16"/>
      <c r="AK10" s="17"/>
      <c r="AL10" s="18" t="str">
        <f aca="false">IF(AND(AD10&lt;&gt;"",AH10&lt;&gt;""),AD10/AH10,"")</f>
        <v/>
      </c>
      <c r="AM10" s="18" t="str">
        <f aca="false">IF(AND(AD10&lt;&gt;"",AI10&lt;&gt;""),AD10/AI10,"")</f>
        <v/>
      </c>
      <c r="AN10" s="18" t="str">
        <f aca="false">IF(AND(AD10&lt;&gt;"",AJ10&lt;&gt;""),AD10/AJ10,"")</f>
        <v/>
      </c>
      <c r="AO10" s="18" t="str">
        <f aca="false">IF(AND(AE10&lt;&gt;"",AK10&lt;&gt;""),AE10/AK10,"")</f>
        <v/>
      </c>
      <c r="AP10" s="16"/>
      <c r="AQ10" s="16"/>
      <c r="AR10" s="19" t="str">
        <f aca="false">IF(AND(AP10&lt;&gt;"",AQ10&lt;&gt;""),AP10/AQ10-1,"")</f>
        <v/>
      </c>
      <c r="AS10" s="16" t="n">
        <v>11430000</v>
      </c>
      <c r="AT10" s="16" t="n">
        <v>99921060000</v>
      </c>
      <c r="AU10" s="20" t="s">
        <v>211</v>
      </c>
      <c r="AV10" s="20" t="s">
        <v>212</v>
      </c>
      <c r="AW10" s="11"/>
      <c r="AX10" s="15"/>
      <c r="AY10" s="11"/>
      <c r="AZ10" s="11"/>
      <c r="BA10" s="21"/>
      <c r="BB10" s="22"/>
      <c r="BC10" s="22"/>
      <c r="BD10" s="23"/>
      <c r="BE10" s="23"/>
      <c r="BF10" s="23"/>
      <c r="BG10" s="23"/>
      <c r="BH10" s="23"/>
      <c r="BI10" s="23"/>
      <c r="BJ10" s="23"/>
      <c r="BK10" s="24" t="s">
        <v>213</v>
      </c>
      <c r="BL10" s="24" t="s">
        <v>214</v>
      </c>
      <c r="BM10" s="24" t="s">
        <v>131</v>
      </c>
      <c r="BN10" s="24" t="s">
        <v>132</v>
      </c>
      <c r="BO10" s="24" t="s">
        <v>215</v>
      </c>
      <c r="BP10" s="24" t="s">
        <v>216</v>
      </c>
      <c r="BQ10" s="24" t="s">
        <v>217</v>
      </c>
    </row>
    <row r="11" customFormat="false" ht="48" hidden="false" customHeight="true" outlineLevel="0" collapsed="false">
      <c r="A11" s="11" t="s">
        <v>218</v>
      </c>
      <c r="B11" s="11" t="s">
        <v>103</v>
      </c>
      <c r="C11" s="11" t="s">
        <v>219</v>
      </c>
      <c r="D11" s="12" t="s">
        <v>220</v>
      </c>
      <c r="E11" s="25" t="s">
        <v>221</v>
      </c>
      <c r="F11" s="11" t="s">
        <v>106</v>
      </c>
      <c r="G11" s="11"/>
      <c r="H11" s="11" t="s">
        <v>222</v>
      </c>
      <c r="I11" s="11"/>
      <c r="J11" s="11" t="s">
        <v>223</v>
      </c>
      <c r="K11" s="11" t="s">
        <v>111</v>
      </c>
      <c r="L11" s="11" t="s">
        <v>11</v>
      </c>
      <c r="M11" s="11"/>
      <c r="N11" s="11"/>
      <c r="O11" s="11"/>
      <c r="P11" s="11"/>
      <c r="Q11" s="11"/>
      <c r="R11" s="13"/>
      <c r="S11" s="14"/>
      <c r="T11" s="14"/>
      <c r="U11" s="14"/>
      <c r="V11" s="14"/>
      <c r="W11" s="14"/>
      <c r="X11" s="12"/>
      <c r="Y11" s="12"/>
      <c r="Z11" s="15"/>
      <c r="AA11" s="16"/>
      <c r="AB11" s="16"/>
      <c r="AC11" s="16"/>
      <c r="AD11" s="16"/>
      <c r="AE11" s="17"/>
      <c r="AF11" s="17"/>
      <c r="AG11" s="17"/>
      <c r="AH11" s="17"/>
      <c r="AI11" s="16"/>
      <c r="AJ11" s="16"/>
      <c r="AK11" s="17"/>
      <c r="AL11" s="18" t="str">
        <f aca="false">IF(AND(AD11&lt;&gt;"",AH11&lt;&gt;""),AD11/AH11,"")</f>
        <v/>
      </c>
      <c r="AM11" s="18" t="str">
        <f aca="false">IF(AND(AD11&lt;&gt;"",AI11&lt;&gt;""),AD11/AI11,"")</f>
        <v/>
      </c>
      <c r="AN11" s="18" t="str">
        <f aca="false">IF(AND(AD11&lt;&gt;"",AJ11&lt;&gt;""),AD11/AJ11,"")</f>
        <v/>
      </c>
      <c r="AO11" s="18" t="str">
        <f aca="false">IF(AND(AE11&lt;&gt;"",AK11&lt;&gt;""),AE11/AK11,"")</f>
        <v/>
      </c>
      <c r="AP11" s="16"/>
      <c r="AQ11" s="16"/>
      <c r="AR11" s="19" t="str">
        <f aca="false">IF(AND(AP11&lt;&gt;"",AQ11&lt;&gt;""),AP11/AQ11-1,"")</f>
        <v/>
      </c>
      <c r="AS11" s="16"/>
      <c r="AT11" s="16"/>
      <c r="AU11" s="20"/>
      <c r="AV11" s="20"/>
      <c r="AW11" s="11"/>
      <c r="AX11" s="15"/>
      <c r="AY11" s="11"/>
      <c r="AZ11" s="11"/>
      <c r="BA11" s="21"/>
      <c r="BB11" s="22"/>
      <c r="BC11" s="22"/>
      <c r="BD11" s="23"/>
      <c r="BE11" s="23"/>
      <c r="BF11" s="23"/>
      <c r="BG11" s="23"/>
      <c r="BH11" s="23"/>
      <c r="BI11" s="23"/>
      <c r="BJ11" s="23"/>
      <c r="BK11" s="24"/>
      <c r="BL11" s="24"/>
      <c r="BM11" s="24"/>
      <c r="BN11" s="24"/>
      <c r="BO11" s="24"/>
      <c r="BP11" s="24"/>
      <c r="BQ11" s="26" t="s">
        <v>224</v>
      </c>
    </row>
    <row r="12" customFormat="false" ht="48" hidden="false" customHeight="true" outlineLevel="0" collapsed="false">
      <c r="A12" s="11" t="s">
        <v>225</v>
      </c>
      <c r="B12" s="11" t="s">
        <v>103</v>
      </c>
      <c r="C12" s="11" t="s">
        <v>219</v>
      </c>
      <c r="D12" s="12" t="s">
        <v>226</v>
      </c>
      <c r="E12" s="25" t="s">
        <v>227</v>
      </c>
      <c r="F12" s="11" t="s">
        <v>106</v>
      </c>
      <c r="G12" s="11"/>
      <c r="H12" s="11"/>
      <c r="I12" s="11"/>
      <c r="J12" s="11" t="s">
        <v>223</v>
      </c>
      <c r="K12" s="11" t="s">
        <v>111</v>
      </c>
      <c r="L12" s="11" t="s">
        <v>11</v>
      </c>
      <c r="M12" s="11"/>
      <c r="N12" s="11"/>
      <c r="O12" s="11"/>
      <c r="P12" s="11"/>
      <c r="Q12" s="11"/>
      <c r="R12" s="13"/>
      <c r="S12" s="14"/>
      <c r="T12" s="14"/>
      <c r="U12" s="14"/>
      <c r="V12" s="14"/>
      <c r="W12" s="14"/>
      <c r="X12" s="12"/>
      <c r="Y12" s="12"/>
      <c r="Z12" s="15"/>
      <c r="AA12" s="16"/>
      <c r="AB12" s="16"/>
      <c r="AC12" s="16"/>
      <c r="AD12" s="16"/>
      <c r="AE12" s="17"/>
      <c r="AF12" s="17"/>
      <c r="AG12" s="17"/>
      <c r="AH12" s="17"/>
      <c r="AI12" s="16"/>
      <c r="AJ12" s="16"/>
      <c r="AK12" s="17"/>
      <c r="AL12" s="18" t="str">
        <f aca="false">IF(AND(AD12&lt;&gt;"",AH12&lt;&gt;""),AD12/AH12,"")</f>
        <v/>
      </c>
      <c r="AM12" s="18" t="str">
        <f aca="false">IF(AND(AD12&lt;&gt;"",AI12&lt;&gt;""),AD12/AI12,"")</f>
        <v/>
      </c>
      <c r="AN12" s="18" t="str">
        <f aca="false">IF(AND(AD12&lt;&gt;"",AJ12&lt;&gt;""),AD12/AJ12,"")</f>
        <v/>
      </c>
      <c r="AO12" s="18" t="str">
        <f aca="false">IF(AND(AE12&lt;&gt;"",AK12&lt;&gt;""),AE12/AK12,"")</f>
        <v/>
      </c>
      <c r="AP12" s="16"/>
      <c r="AQ12" s="16"/>
      <c r="AR12" s="19" t="str">
        <f aca="false">IF(AND(AP12&lt;&gt;"",AQ12&lt;&gt;""),AP12/AQ12-1,"")</f>
        <v/>
      </c>
      <c r="AS12" s="16"/>
      <c r="AT12" s="16"/>
      <c r="AU12" s="20"/>
      <c r="AV12" s="20"/>
      <c r="AW12" s="11"/>
      <c r="AX12" s="15"/>
      <c r="AY12" s="11"/>
      <c r="AZ12" s="11"/>
      <c r="BA12" s="21"/>
      <c r="BB12" s="22"/>
      <c r="BC12" s="22"/>
      <c r="BD12" s="23"/>
      <c r="BE12" s="23"/>
      <c r="BF12" s="23"/>
      <c r="BG12" s="23"/>
      <c r="BH12" s="23"/>
      <c r="BI12" s="23"/>
      <c r="BJ12" s="23"/>
      <c r="BK12" s="24"/>
      <c r="BL12" s="24"/>
      <c r="BM12" s="24"/>
      <c r="BN12" s="24"/>
      <c r="BO12" s="24"/>
      <c r="BP12" s="24"/>
      <c r="BQ12" s="26" t="s">
        <v>228</v>
      </c>
    </row>
    <row r="13" customFormat="false" ht="48" hidden="false" customHeight="true" outlineLevel="0" collapsed="false">
      <c r="A13" s="11" t="s">
        <v>229</v>
      </c>
      <c r="B13" s="11" t="s">
        <v>103</v>
      </c>
      <c r="C13" s="11" t="s">
        <v>219</v>
      </c>
      <c r="D13" s="12" t="s">
        <v>230</v>
      </c>
      <c r="E13" s="25" t="s">
        <v>231</v>
      </c>
      <c r="F13" s="11" t="s">
        <v>106</v>
      </c>
      <c r="G13" s="11"/>
      <c r="H13" s="11"/>
      <c r="I13" s="11"/>
      <c r="J13" s="11" t="s">
        <v>223</v>
      </c>
      <c r="K13" s="11" t="s">
        <v>111</v>
      </c>
      <c r="L13" s="11" t="s">
        <v>11</v>
      </c>
      <c r="M13" s="11"/>
      <c r="N13" s="11"/>
      <c r="O13" s="11"/>
      <c r="P13" s="11"/>
      <c r="Q13" s="11"/>
      <c r="R13" s="13"/>
      <c r="S13" s="14"/>
      <c r="T13" s="14"/>
      <c r="U13" s="14"/>
      <c r="V13" s="14"/>
      <c r="W13" s="14"/>
      <c r="X13" s="12"/>
      <c r="Y13" s="12"/>
      <c r="Z13" s="15"/>
      <c r="AA13" s="16"/>
      <c r="AB13" s="16"/>
      <c r="AC13" s="16"/>
      <c r="AD13" s="16"/>
      <c r="AE13" s="17"/>
      <c r="AF13" s="17"/>
      <c r="AG13" s="17"/>
      <c r="AH13" s="17"/>
      <c r="AI13" s="16"/>
      <c r="AJ13" s="16"/>
      <c r="AK13" s="17"/>
      <c r="AL13" s="18" t="str">
        <f aca="false">IF(AND(AD13&lt;&gt;"",AH13&lt;&gt;""),AD13/AH13,"")</f>
        <v/>
      </c>
      <c r="AM13" s="18" t="str">
        <f aca="false">IF(AND(AD13&lt;&gt;"",AI13&lt;&gt;""),AD13/AI13,"")</f>
        <v/>
      </c>
      <c r="AN13" s="18" t="str">
        <f aca="false">IF(AND(AD13&lt;&gt;"",AJ13&lt;&gt;""),AD13/AJ13,"")</f>
        <v/>
      </c>
      <c r="AO13" s="18" t="str">
        <f aca="false">IF(AND(AE13&lt;&gt;"",AK13&lt;&gt;""),AE13/AK13,"")</f>
        <v/>
      </c>
      <c r="AP13" s="16"/>
      <c r="AQ13" s="16"/>
      <c r="AR13" s="19" t="str">
        <f aca="false">IF(AND(AP13&lt;&gt;"",AQ13&lt;&gt;""),AP13/AQ13-1,"")</f>
        <v/>
      </c>
      <c r="AS13" s="16"/>
      <c r="AT13" s="16"/>
      <c r="AU13" s="20"/>
      <c r="AV13" s="20"/>
      <c r="AW13" s="11"/>
      <c r="AX13" s="15"/>
      <c r="AY13" s="11"/>
      <c r="AZ13" s="11"/>
      <c r="BA13" s="21"/>
      <c r="BB13" s="22"/>
      <c r="BC13" s="22"/>
      <c r="BD13" s="23"/>
      <c r="BE13" s="23"/>
      <c r="BF13" s="23"/>
      <c r="BG13" s="23"/>
      <c r="BH13" s="23"/>
      <c r="BI13" s="23"/>
      <c r="BJ13" s="23"/>
      <c r="BK13" s="24"/>
      <c r="BL13" s="24"/>
      <c r="BM13" s="24"/>
      <c r="BN13" s="24"/>
      <c r="BO13" s="24"/>
      <c r="BP13" s="24"/>
      <c r="BQ13" s="26" t="s">
        <v>228</v>
      </c>
    </row>
    <row r="14" customFormat="false" ht="15" hidden="false" customHeight="true" outlineLevel="0" collapsed="false">
      <c r="A14" s="11"/>
      <c r="B14" s="11"/>
      <c r="C14" s="11"/>
      <c r="D14" s="12"/>
      <c r="E14" s="11"/>
      <c r="F14" s="11"/>
      <c r="G14" s="11"/>
      <c r="H14" s="11"/>
      <c r="I14" s="11"/>
      <c r="J14" s="11"/>
      <c r="K14" s="11"/>
      <c r="L14" s="11"/>
      <c r="M14" s="11"/>
      <c r="N14" s="11"/>
      <c r="O14" s="11"/>
      <c r="P14" s="11"/>
      <c r="Q14" s="11"/>
      <c r="R14" s="14"/>
      <c r="S14" s="14"/>
      <c r="T14" s="14"/>
      <c r="U14" s="14"/>
      <c r="V14" s="12"/>
      <c r="W14" s="12"/>
      <c r="X14" s="12"/>
      <c r="Y14" s="12"/>
      <c r="Z14" s="12"/>
      <c r="AA14" s="27"/>
      <c r="AB14" s="27"/>
      <c r="AC14" s="27"/>
      <c r="AD14" s="27"/>
      <c r="AE14" s="28"/>
      <c r="AF14" s="28"/>
      <c r="AG14" s="28"/>
      <c r="AH14" s="28"/>
      <c r="AI14" s="29"/>
      <c r="AJ14" s="29"/>
      <c r="AK14" s="28"/>
      <c r="AL14" s="12"/>
      <c r="AM14" s="12"/>
      <c r="AN14" s="11"/>
      <c r="AO14" s="11"/>
      <c r="AP14" s="20"/>
      <c r="AQ14" s="20"/>
      <c r="AR14" s="20"/>
      <c r="AS14" s="20"/>
      <c r="AT14" s="20"/>
      <c r="AU14" s="20"/>
      <c r="AV14" s="20"/>
      <c r="AW14" s="11"/>
      <c r="AX14" s="11"/>
      <c r="AY14" s="11"/>
      <c r="AZ14" s="11"/>
      <c r="BA14" s="21"/>
      <c r="BB14" s="21"/>
      <c r="BC14" s="21"/>
      <c r="BD14" s="24"/>
      <c r="BE14" s="24"/>
      <c r="BF14" s="24"/>
      <c r="BG14" s="24"/>
      <c r="BH14" s="24"/>
      <c r="BI14" s="24"/>
      <c r="BJ14" s="24"/>
      <c r="BK14" s="24"/>
      <c r="BL14" s="24"/>
      <c r="BM14" s="24"/>
      <c r="BN14" s="24"/>
      <c r="BO14" s="24"/>
      <c r="BP14" s="24"/>
      <c r="BQ14" s="24"/>
    </row>
    <row r="15" customFormat="false" ht="15" hidden="false" customHeight="true" outlineLevel="0" collapsed="false">
      <c r="A15" s="11"/>
      <c r="B15" s="11"/>
      <c r="C15" s="11"/>
      <c r="D15" s="12"/>
      <c r="E15" s="11"/>
      <c r="F15" s="11"/>
      <c r="G15" s="11"/>
      <c r="H15" s="11"/>
      <c r="I15" s="11"/>
      <c r="J15" s="11"/>
      <c r="K15" s="11"/>
      <c r="L15" s="11"/>
      <c r="M15" s="11"/>
      <c r="N15" s="11"/>
      <c r="O15" s="11"/>
      <c r="P15" s="11"/>
      <c r="Q15" s="11"/>
      <c r="R15" s="14"/>
      <c r="S15" s="14"/>
      <c r="T15" s="14"/>
      <c r="U15" s="14"/>
      <c r="V15" s="12"/>
      <c r="W15" s="12"/>
      <c r="X15" s="12"/>
      <c r="Y15" s="12"/>
      <c r="Z15" s="12"/>
      <c r="AA15" s="27"/>
      <c r="AB15" s="27"/>
      <c r="AC15" s="27"/>
      <c r="AD15" s="27"/>
      <c r="AE15" s="28"/>
      <c r="AF15" s="28"/>
      <c r="AG15" s="28"/>
      <c r="AH15" s="28"/>
      <c r="AI15" s="29"/>
      <c r="AJ15" s="29"/>
      <c r="AK15" s="28"/>
      <c r="AL15" s="12"/>
      <c r="AM15" s="12"/>
      <c r="AN15" s="11"/>
      <c r="AO15" s="11"/>
      <c r="AP15" s="20"/>
      <c r="AQ15" s="20"/>
      <c r="AR15" s="20"/>
      <c r="AS15" s="20"/>
      <c r="AT15" s="20"/>
      <c r="AU15" s="20"/>
      <c r="AV15" s="20"/>
      <c r="AW15" s="11"/>
      <c r="AX15" s="11"/>
      <c r="AY15" s="11"/>
      <c r="AZ15" s="11"/>
      <c r="BA15" s="21"/>
      <c r="BB15" s="21"/>
      <c r="BC15" s="21"/>
      <c r="BD15" s="24"/>
      <c r="BE15" s="24"/>
      <c r="BF15" s="24"/>
      <c r="BG15" s="24"/>
      <c r="BH15" s="24"/>
      <c r="BI15" s="24"/>
      <c r="BJ15" s="24"/>
      <c r="BK15" s="24"/>
      <c r="BL15" s="24"/>
      <c r="BM15" s="24"/>
      <c r="BN15" s="24"/>
      <c r="BO15" s="24"/>
      <c r="BP15" s="24"/>
      <c r="BQ15" s="24"/>
    </row>
    <row r="16" customFormat="false" ht="15" hidden="false" customHeight="true" outlineLevel="0" collapsed="false">
      <c r="A16" s="11"/>
      <c r="B16" s="11"/>
      <c r="C16" s="11"/>
      <c r="D16" s="12"/>
      <c r="E16" s="11"/>
      <c r="F16" s="11"/>
      <c r="G16" s="11"/>
      <c r="H16" s="11"/>
      <c r="I16" s="11"/>
      <c r="J16" s="11"/>
      <c r="K16" s="11"/>
      <c r="L16" s="11"/>
      <c r="M16" s="11"/>
      <c r="N16" s="11"/>
      <c r="O16" s="11"/>
      <c r="P16" s="11"/>
      <c r="Q16" s="11"/>
      <c r="R16" s="14"/>
      <c r="S16" s="14"/>
      <c r="T16" s="14"/>
      <c r="U16" s="14"/>
      <c r="V16" s="12"/>
      <c r="W16" s="12"/>
      <c r="X16" s="12"/>
      <c r="Y16" s="12"/>
      <c r="Z16" s="12"/>
      <c r="AA16" s="27"/>
      <c r="AB16" s="27"/>
      <c r="AC16" s="27"/>
      <c r="AD16" s="27"/>
      <c r="AE16" s="28"/>
      <c r="AF16" s="28"/>
      <c r="AG16" s="28"/>
      <c r="AH16" s="28"/>
      <c r="AI16" s="29"/>
      <c r="AJ16" s="29"/>
      <c r="AK16" s="28"/>
      <c r="AL16" s="12"/>
      <c r="AM16" s="12"/>
      <c r="AN16" s="11"/>
      <c r="AO16" s="11"/>
      <c r="AP16" s="20"/>
      <c r="AQ16" s="20"/>
      <c r="AR16" s="20"/>
      <c r="AS16" s="20"/>
      <c r="AT16" s="20"/>
      <c r="AU16" s="20"/>
      <c r="AV16" s="20"/>
      <c r="AW16" s="11"/>
      <c r="AX16" s="11"/>
      <c r="AY16" s="11"/>
      <c r="AZ16" s="11"/>
      <c r="BA16" s="21"/>
      <c r="BB16" s="21"/>
      <c r="BC16" s="21"/>
      <c r="BD16" s="24"/>
      <c r="BE16" s="24"/>
      <c r="BF16" s="24"/>
      <c r="BG16" s="24"/>
      <c r="BH16" s="24"/>
      <c r="BI16" s="24"/>
      <c r="BJ16" s="24"/>
      <c r="BK16" s="24"/>
      <c r="BL16" s="24"/>
      <c r="BM16" s="24"/>
      <c r="BN16" s="24"/>
      <c r="BO16" s="24"/>
      <c r="BP16" s="24"/>
      <c r="BQ16" s="24"/>
    </row>
    <row r="17" customFormat="false" ht="15" hidden="false" customHeight="true" outlineLevel="0" collapsed="false">
      <c r="A17" s="11"/>
      <c r="B17" s="11"/>
      <c r="C17" s="11"/>
      <c r="D17" s="12"/>
      <c r="E17" s="11"/>
      <c r="F17" s="11"/>
      <c r="G17" s="11"/>
      <c r="H17" s="11"/>
      <c r="I17" s="11"/>
      <c r="J17" s="11"/>
      <c r="K17" s="11"/>
      <c r="L17" s="11"/>
      <c r="M17" s="11"/>
      <c r="N17" s="11"/>
      <c r="O17" s="11"/>
      <c r="P17" s="11"/>
      <c r="Q17" s="11"/>
      <c r="R17" s="14"/>
      <c r="S17" s="14"/>
      <c r="T17" s="14"/>
      <c r="U17" s="14"/>
      <c r="V17" s="12"/>
      <c r="W17" s="12"/>
      <c r="X17" s="12"/>
      <c r="Y17" s="12"/>
      <c r="Z17" s="12"/>
      <c r="AA17" s="27"/>
      <c r="AB17" s="27"/>
      <c r="AC17" s="27"/>
      <c r="AD17" s="27"/>
      <c r="AE17" s="28"/>
      <c r="AF17" s="28"/>
      <c r="AG17" s="28"/>
      <c r="AH17" s="28"/>
      <c r="AI17" s="29"/>
      <c r="AJ17" s="29"/>
      <c r="AK17" s="28"/>
      <c r="AL17" s="12"/>
      <c r="AM17" s="12"/>
      <c r="AN17" s="11"/>
      <c r="AO17" s="11"/>
      <c r="AP17" s="20"/>
      <c r="AQ17" s="20"/>
      <c r="AR17" s="20"/>
      <c r="AS17" s="20"/>
      <c r="AT17" s="20"/>
      <c r="AU17" s="20"/>
      <c r="AV17" s="20"/>
      <c r="AW17" s="11"/>
      <c r="AX17" s="11"/>
      <c r="AY17" s="11"/>
      <c r="AZ17" s="11"/>
      <c r="BA17" s="21"/>
      <c r="BB17" s="21"/>
      <c r="BC17" s="21"/>
      <c r="BD17" s="24"/>
      <c r="BE17" s="24"/>
      <c r="BF17" s="24"/>
      <c r="BG17" s="24"/>
      <c r="BH17" s="24"/>
      <c r="BI17" s="24"/>
      <c r="BJ17" s="24"/>
      <c r="BK17" s="24"/>
      <c r="BL17" s="24"/>
      <c r="BM17" s="24"/>
      <c r="BN17" s="24"/>
      <c r="BO17" s="24"/>
      <c r="BP17" s="24"/>
      <c r="BQ17" s="24"/>
    </row>
    <row r="18" customFormat="false" ht="15" hidden="false" customHeight="true" outlineLevel="0" collapsed="false">
      <c r="A18" s="11"/>
      <c r="B18" s="11"/>
      <c r="C18" s="11"/>
      <c r="D18" s="12"/>
      <c r="E18" s="11"/>
      <c r="F18" s="11"/>
      <c r="G18" s="11"/>
      <c r="H18" s="11"/>
      <c r="I18" s="11"/>
      <c r="J18" s="11"/>
      <c r="K18" s="11"/>
      <c r="L18" s="11"/>
      <c r="M18" s="11"/>
      <c r="N18" s="11"/>
      <c r="O18" s="11"/>
      <c r="P18" s="11"/>
      <c r="Q18" s="11"/>
      <c r="R18" s="14"/>
      <c r="S18" s="14"/>
      <c r="T18" s="14"/>
      <c r="U18" s="14"/>
      <c r="V18" s="12"/>
      <c r="W18" s="12"/>
      <c r="X18" s="12"/>
      <c r="Y18" s="12"/>
      <c r="Z18" s="12"/>
      <c r="AA18" s="27"/>
      <c r="AB18" s="27"/>
      <c r="AC18" s="27"/>
      <c r="AD18" s="27"/>
      <c r="AE18" s="28"/>
      <c r="AF18" s="28"/>
      <c r="AG18" s="28"/>
      <c r="AH18" s="28"/>
      <c r="AI18" s="29"/>
      <c r="AJ18" s="29"/>
      <c r="AK18" s="28"/>
      <c r="AL18" s="12"/>
      <c r="AM18" s="12"/>
      <c r="AN18" s="11"/>
      <c r="AO18" s="11"/>
      <c r="AP18" s="20"/>
      <c r="AQ18" s="20"/>
      <c r="AR18" s="20"/>
      <c r="AS18" s="20"/>
      <c r="AT18" s="20"/>
      <c r="AU18" s="20"/>
      <c r="AV18" s="20"/>
      <c r="AW18" s="11"/>
      <c r="AX18" s="11"/>
      <c r="AY18" s="11"/>
      <c r="AZ18" s="11"/>
      <c r="BA18" s="21"/>
      <c r="BB18" s="21"/>
      <c r="BC18" s="21"/>
      <c r="BD18" s="24"/>
      <c r="BE18" s="24"/>
      <c r="BF18" s="24"/>
      <c r="BG18" s="24"/>
      <c r="BH18" s="24"/>
      <c r="BI18" s="24"/>
      <c r="BJ18" s="24"/>
      <c r="BK18" s="24"/>
      <c r="BL18" s="24"/>
      <c r="BM18" s="24"/>
      <c r="BN18" s="24"/>
      <c r="BO18" s="24"/>
      <c r="BP18" s="24"/>
      <c r="BQ18" s="24"/>
    </row>
    <row r="19" customFormat="false" ht="15" hidden="false" customHeight="true" outlineLevel="0" collapsed="false">
      <c r="A19" s="11"/>
      <c r="B19" s="11"/>
      <c r="C19" s="11"/>
      <c r="D19" s="12"/>
      <c r="E19" s="11"/>
      <c r="F19" s="11"/>
      <c r="G19" s="11"/>
      <c r="H19" s="11"/>
      <c r="I19" s="11"/>
      <c r="J19" s="11"/>
      <c r="K19" s="11"/>
      <c r="L19" s="11"/>
      <c r="M19" s="11"/>
      <c r="N19" s="11"/>
      <c r="O19" s="11"/>
      <c r="P19" s="11"/>
      <c r="Q19" s="11"/>
      <c r="R19" s="14"/>
      <c r="S19" s="14"/>
      <c r="T19" s="14"/>
      <c r="U19" s="14"/>
      <c r="V19" s="12"/>
      <c r="W19" s="12"/>
      <c r="X19" s="12"/>
      <c r="Y19" s="12"/>
      <c r="Z19" s="12"/>
      <c r="AA19" s="27"/>
      <c r="AB19" s="27"/>
      <c r="AC19" s="27"/>
      <c r="AD19" s="27"/>
      <c r="AE19" s="28"/>
      <c r="AF19" s="28"/>
      <c r="AG19" s="28"/>
      <c r="AH19" s="28"/>
      <c r="AI19" s="29"/>
      <c r="AJ19" s="29"/>
      <c r="AK19" s="28"/>
      <c r="AL19" s="12"/>
      <c r="AM19" s="12"/>
      <c r="AN19" s="11"/>
      <c r="AO19" s="11"/>
      <c r="AP19" s="20"/>
      <c r="AQ19" s="20"/>
      <c r="AR19" s="20"/>
      <c r="AS19" s="20"/>
      <c r="AT19" s="20"/>
      <c r="AU19" s="20"/>
      <c r="AV19" s="20"/>
      <c r="AW19" s="11"/>
      <c r="AX19" s="11"/>
      <c r="AY19" s="11"/>
      <c r="AZ19" s="11"/>
      <c r="BA19" s="21"/>
      <c r="BB19" s="21"/>
      <c r="BC19" s="21"/>
      <c r="BD19" s="24"/>
      <c r="BE19" s="24"/>
      <c r="BF19" s="24"/>
      <c r="BG19" s="24"/>
      <c r="BH19" s="24"/>
      <c r="BI19" s="24"/>
      <c r="BJ19" s="24"/>
      <c r="BK19" s="24"/>
      <c r="BL19" s="24"/>
      <c r="BM19" s="24"/>
      <c r="BN19" s="24"/>
      <c r="BO19" s="24"/>
      <c r="BP19" s="24"/>
      <c r="BQ19" s="24"/>
    </row>
    <row r="20" customFormat="false" ht="15" hidden="false" customHeight="true" outlineLevel="0" collapsed="false">
      <c r="A20" s="11"/>
      <c r="B20" s="11"/>
      <c r="C20" s="11"/>
      <c r="D20" s="12"/>
      <c r="E20" s="11"/>
      <c r="F20" s="11"/>
      <c r="G20" s="11"/>
      <c r="H20" s="11"/>
      <c r="I20" s="11"/>
      <c r="J20" s="11"/>
      <c r="K20" s="11"/>
      <c r="L20" s="11"/>
      <c r="M20" s="11"/>
      <c r="N20" s="11"/>
      <c r="O20" s="11"/>
      <c r="P20" s="11"/>
      <c r="Q20" s="11"/>
      <c r="R20" s="14"/>
      <c r="S20" s="14"/>
      <c r="T20" s="14"/>
      <c r="U20" s="14"/>
      <c r="V20" s="12"/>
      <c r="W20" s="12"/>
      <c r="X20" s="12"/>
      <c r="Y20" s="12"/>
      <c r="Z20" s="12"/>
      <c r="AA20" s="27"/>
      <c r="AB20" s="27"/>
      <c r="AC20" s="27"/>
      <c r="AD20" s="27"/>
      <c r="AE20" s="28"/>
      <c r="AF20" s="28"/>
      <c r="AG20" s="28"/>
      <c r="AH20" s="28"/>
      <c r="AI20" s="29"/>
      <c r="AJ20" s="29"/>
      <c r="AK20" s="28"/>
      <c r="AL20" s="12"/>
      <c r="AM20" s="12"/>
      <c r="AN20" s="11"/>
      <c r="AO20" s="11"/>
      <c r="AP20" s="20"/>
      <c r="AQ20" s="20"/>
      <c r="AR20" s="20"/>
      <c r="AS20" s="20"/>
      <c r="AT20" s="20"/>
      <c r="AU20" s="20"/>
      <c r="AV20" s="20"/>
      <c r="AW20" s="11"/>
      <c r="AX20" s="11"/>
      <c r="AY20" s="11"/>
      <c r="AZ20" s="11"/>
      <c r="BA20" s="21"/>
      <c r="BB20" s="21"/>
      <c r="BC20" s="21"/>
      <c r="BD20" s="24"/>
      <c r="BE20" s="24"/>
      <c r="BF20" s="24"/>
      <c r="BG20" s="24"/>
      <c r="BH20" s="24"/>
      <c r="BI20" s="24"/>
      <c r="BJ20" s="24"/>
      <c r="BK20" s="24"/>
      <c r="BL20" s="24"/>
      <c r="BM20" s="24"/>
      <c r="BN20" s="24"/>
      <c r="BO20" s="24"/>
      <c r="BP20" s="24"/>
      <c r="BQ20" s="24"/>
    </row>
    <row r="21" customFormat="false" ht="15" hidden="false" customHeight="true" outlineLevel="0" collapsed="false">
      <c r="A21" s="11"/>
      <c r="B21" s="11"/>
      <c r="C21" s="11"/>
      <c r="D21" s="12"/>
      <c r="E21" s="11"/>
      <c r="F21" s="11"/>
      <c r="G21" s="11"/>
      <c r="H21" s="11"/>
      <c r="I21" s="11"/>
      <c r="J21" s="11"/>
      <c r="K21" s="11"/>
      <c r="L21" s="11"/>
      <c r="M21" s="11"/>
      <c r="N21" s="11"/>
      <c r="O21" s="11"/>
      <c r="P21" s="11"/>
      <c r="Q21" s="11"/>
      <c r="R21" s="14"/>
      <c r="S21" s="14"/>
      <c r="T21" s="14"/>
      <c r="U21" s="14"/>
      <c r="V21" s="12"/>
      <c r="W21" s="12"/>
      <c r="X21" s="12"/>
      <c r="Y21" s="12"/>
      <c r="Z21" s="12"/>
      <c r="AA21" s="27"/>
      <c r="AB21" s="27"/>
      <c r="AC21" s="27"/>
      <c r="AD21" s="27"/>
      <c r="AE21" s="28"/>
      <c r="AF21" s="28"/>
      <c r="AG21" s="28"/>
      <c r="AH21" s="28"/>
      <c r="AI21" s="29"/>
      <c r="AJ21" s="29"/>
      <c r="AK21" s="28"/>
      <c r="AL21" s="12"/>
      <c r="AM21" s="12"/>
      <c r="AN21" s="11"/>
      <c r="AO21" s="11"/>
      <c r="AP21" s="20"/>
      <c r="AQ21" s="20"/>
      <c r="AR21" s="20"/>
      <c r="AS21" s="20"/>
      <c r="AT21" s="20"/>
      <c r="AU21" s="20"/>
      <c r="AV21" s="20"/>
      <c r="AW21" s="11"/>
      <c r="AX21" s="11"/>
      <c r="AY21" s="11"/>
      <c r="AZ21" s="11"/>
      <c r="BA21" s="21"/>
      <c r="BB21" s="21"/>
      <c r="BC21" s="21"/>
      <c r="BD21" s="24"/>
      <c r="BE21" s="24"/>
      <c r="BF21" s="24"/>
      <c r="BG21" s="24"/>
      <c r="BH21" s="24"/>
      <c r="BI21" s="24"/>
      <c r="BJ21" s="24"/>
      <c r="BK21" s="24"/>
      <c r="BL21" s="24"/>
      <c r="BM21" s="24"/>
      <c r="BN21" s="24"/>
      <c r="BO21" s="24"/>
      <c r="BP21" s="24"/>
      <c r="BQ21" s="24"/>
    </row>
    <row r="22" customFormat="false" ht="15" hidden="false" customHeight="true" outlineLevel="0" collapsed="false">
      <c r="A22" s="11"/>
      <c r="B22" s="11"/>
      <c r="C22" s="11"/>
      <c r="D22" s="12"/>
      <c r="E22" s="11"/>
      <c r="F22" s="11"/>
      <c r="G22" s="11"/>
      <c r="H22" s="11"/>
      <c r="I22" s="11"/>
      <c r="J22" s="11"/>
      <c r="K22" s="11"/>
      <c r="L22" s="11"/>
      <c r="M22" s="11"/>
      <c r="N22" s="11"/>
      <c r="O22" s="11"/>
      <c r="P22" s="11"/>
      <c r="Q22" s="11"/>
      <c r="R22" s="14"/>
      <c r="S22" s="14"/>
      <c r="T22" s="14"/>
      <c r="U22" s="14"/>
      <c r="V22" s="12"/>
      <c r="W22" s="12"/>
      <c r="X22" s="12"/>
      <c r="Y22" s="12"/>
      <c r="Z22" s="12"/>
      <c r="AA22" s="27"/>
      <c r="AB22" s="27"/>
      <c r="AC22" s="27"/>
      <c r="AD22" s="27"/>
      <c r="AE22" s="28"/>
      <c r="AF22" s="28"/>
      <c r="AG22" s="28"/>
      <c r="AH22" s="28"/>
      <c r="AI22" s="29"/>
      <c r="AJ22" s="29"/>
      <c r="AK22" s="28"/>
      <c r="AL22" s="12"/>
      <c r="AM22" s="12"/>
      <c r="AN22" s="11"/>
      <c r="AO22" s="11"/>
      <c r="AP22" s="20"/>
      <c r="AQ22" s="20"/>
      <c r="AR22" s="20"/>
      <c r="AS22" s="20"/>
      <c r="AT22" s="20"/>
      <c r="AU22" s="20"/>
      <c r="AV22" s="20"/>
      <c r="AW22" s="11"/>
      <c r="AX22" s="11"/>
      <c r="AY22" s="11"/>
      <c r="AZ22" s="11"/>
      <c r="BA22" s="21"/>
      <c r="BB22" s="21"/>
      <c r="BC22" s="21"/>
      <c r="BD22" s="24"/>
      <c r="BE22" s="24"/>
      <c r="BF22" s="24"/>
      <c r="BG22" s="24"/>
      <c r="BH22" s="24"/>
      <c r="BI22" s="24"/>
      <c r="BJ22" s="24"/>
      <c r="BK22" s="24"/>
      <c r="BL22" s="24"/>
      <c r="BM22" s="24"/>
      <c r="BN22" s="24"/>
      <c r="BO22" s="24"/>
      <c r="BP22" s="24"/>
      <c r="BQ22" s="24"/>
    </row>
    <row r="23" customFormat="false" ht="15" hidden="false" customHeight="true" outlineLevel="0" collapsed="false">
      <c r="A23" s="11"/>
      <c r="B23" s="11"/>
      <c r="C23" s="11"/>
      <c r="D23" s="12"/>
      <c r="E23" s="11"/>
      <c r="F23" s="11"/>
      <c r="G23" s="11"/>
      <c r="H23" s="11"/>
      <c r="I23" s="11"/>
      <c r="J23" s="11"/>
      <c r="K23" s="11"/>
      <c r="L23" s="11"/>
      <c r="M23" s="11"/>
      <c r="N23" s="11"/>
      <c r="O23" s="11"/>
      <c r="P23" s="11"/>
      <c r="Q23" s="11"/>
      <c r="R23" s="14"/>
      <c r="S23" s="14"/>
      <c r="T23" s="14"/>
      <c r="U23" s="14"/>
      <c r="V23" s="12"/>
      <c r="W23" s="12"/>
      <c r="X23" s="12"/>
      <c r="Y23" s="12"/>
      <c r="Z23" s="12"/>
      <c r="AA23" s="27"/>
      <c r="AB23" s="27"/>
      <c r="AC23" s="27"/>
      <c r="AD23" s="27"/>
      <c r="AE23" s="28"/>
      <c r="AF23" s="28"/>
      <c r="AG23" s="28"/>
      <c r="AH23" s="28"/>
      <c r="AI23" s="29"/>
      <c r="AJ23" s="29"/>
      <c r="AK23" s="28"/>
      <c r="AL23" s="12"/>
      <c r="AM23" s="12"/>
      <c r="AN23" s="11"/>
      <c r="AO23" s="11"/>
      <c r="AP23" s="20"/>
      <c r="AQ23" s="20"/>
      <c r="AR23" s="20"/>
      <c r="AS23" s="20"/>
      <c r="AT23" s="20"/>
      <c r="AU23" s="20"/>
      <c r="AV23" s="20"/>
      <c r="AW23" s="11"/>
      <c r="AX23" s="11"/>
      <c r="AY23" s="11"/>
      <c r="AZ23" s="11"/>
      <c r="BA23" s="21"/>
      <c r="BB23" s="21"/>
      <c r="BC23" s="21"/>
      <c r="BD23" s="24"/>
      <c r="BE23" s="24"/>
      <c r="BF23" s="24"/>
      <c r="BG23" s="24"/>
      <c r="BH23" s="24"/>
      <c r="BI23" s="24"/>
      <c r="BJ23" s="24"/>
      <c r="BK23" s="24"/>
      <c r="BL23" s="24"/>
      <c r="BM23" s="24"/>
      <c r="BN23" s="24"/>
      <c r="BO23" s="24"/>
      <c r="BP23" s="24"/>
      <c r="BQ23" s="24"/>
    </row>
    <row r="24" customFormat="false" ht="15" hidden="false" customHeight="true" outlineLevel="0" collapsed="false">
      <c r="A24" s="11"/>
      <c r="B24" s="11"/>
      <c r="C24" s="11"/>
      <c r="D24" s="12"/>
      <c r="E24" s="11"/>
      <c r="F24" s="11"/>
      <c r="G24" s="11"/>
      <c r="H24" s="11"/>
      <c r="I24" s="11"/>
      <c r="J24" s="11"/>
      <c r="K24" s="11"/>
      <c r="L24" s="11"/>
      <c r="M24" s="11"/>
      <c r="N24" s="11"/>
      <c r="O24" s="11"/>
      <c r="P24" s="11"/>
      <c r="Q24" s="11"/>
      <c r="R24" s="14"/>
      <c r="S24" s="14"/>
      <c r="T24" s="14"/>
      <c r="U24" s="14"/>
      <c r="V24" s="12"/>
      <c r="W24" s="12"/>
      <c r="X24" s="12"/>
      <c r="Y24" s="12"/>
      <c r="Z24" s="12"/>
      <c r="AA24" s="27"/>
      <c r="AB24" s="27"/>
      <c r="AC24" s="27"/>
      <c r="AD24" s="27"/>
      <c r="AE24" s="28"/>
      <c r="AF24" s="28"/>
      <c r="AG24" s="28"/>
      <c r="AH24" s="28"/>
      <c r="AI24" s="29"/>
      <c r="AJ24" s="29"/>
      <c r="AK24" s="28"/>
      <c r="AL24" s="12"/>
      <c r="AM24" s="12"/>
      <c r="AN24" s="11"/>
      <c r="AO24" s="11"/>
      <c r="AP24" s="20"/>
      <c r="AQ24" s="20"/>
      <c r="AR24" s="20"/>
      <c r="AS24" s="20"/>
      <c r="AT24" s="20"/>
      <c r="AU24" s="20"/>
      <c r="AV24" s="20"/>
      <c r="AW24" s="11"/>
      <c r="AX24" s="11"/>
      <c r="AY24" s="11"/>
      <c r="AZ24" s="11"/>
      <c r="BA24" s="21"/>
      <c r="BB24" s="21"/>
      <c r="BC24" s="21"/>
      <c r="BD24" s="24"/>
      <c r="BE24" s="24"/>
      <c r="BF24" s="24"/>
      <c r="BG24" s="24"/>
      <c r="BH24" s="24"/>
      <c r="BI24" s="24"/>
      <c r="BJ24" s="24"/>
      <c r="BK24" s="24"/>
      <c r="BL24" s="24"/>
      <c r="BM24" s="24"/>
      <c r="BN24" s="24"/>
      <c r="BO24" s="24"/>
      <c r="BP24" s="24"/>
      <c r="BQ24" s="24"/>
    </row>
    <row r="25" customFormat="false" ht="15" hidden="false" customHeight="true" outlineLevel="0" collapsed="false">
      <c r="A25" s="11"/>
      <c r="B25" s="11"/>
      <c r="C25" s="11"/>
      <c r="D25" s="12"/>
      <c r="E25" s="11"/>
      <c r="F25" s="11"/>
      <c r="G25" s="11"/>
      <c r="H25" s="11"/>
      <c r="I25" s="11"/>
      <c r="J25" s="11"/>
      <c r="K25" s="11"/>
      <c r="L25" s="11"/>
      <c r="M25" s="11"/>
      <c r="N25" s="11"/>
      <c r="O25" s="11"/>
      <c r="P25" s="11"/>
      <c r="Q25" s="11"/>
      <c r="R25" s="14"/>
      <c r="S25" s="14"/>
      <c r="T25" s="14"/>
      <c r="U25" s="14"/>
      <c r="V25" s="12"/>
      <c r="W25" s="12"/>
      <c r="X25" s="12"/>
      <c r="Y25" s="12"/>
      <c r="Z25" s="12"/>
      <c r="AA25" s="27"/>
      <c r="AB25" s="27"/>
      <c r="AC25" s="27"/>
      <c r="AD25" s="27"/>
      <c r="AE25" s="28"/>
      <c r="AF25" s="28"/>
      <c r="AG25" s="28"/>
      <c r="AH25" s="28"/>
      <c r="AI25" s="29"/>
      <c r="AJ25" s="29"/>
      <c r="AK25" s="28"/>
      <c r="AL25" s="12"/>
      <c r="AM25" s="12"/>
      <c r="AN25" s="11"/>
      <c r="AO25" s="11"/>
      <c r="AP25" s="20"/>
      <c r="AQ25" s="20"/>
      <c r="AR25" s="20"/>
      <c r="AS25" s="20"/>
      <c r="AT25" s="20"/>
      <c r="AU25" s="20"/>
      <c r="AV25" s="20"/>
      <c r="AW25" s="11"/>
      <c r="AX25" s="11"/>
      <c r="AY25" s="11"/>
      <c r="AZ25" s="11"/>
      <c r="BA25" s="21"/>
      <c r="BB25" s="21"/>
      <c r="BC25" s="21"/>
      <c r="BD25" s="24"/>
      <c r="BE25" s="24"/>
      <c r="BF25" s="24"/>
      <c r="BG25" s="24"/>
      <c r="BH25" s="24"/>
      <c r="BI25" s="24"/>
      <c r="BJ25" s="24"/>
      <c r="BK25" s="24"/>
      <c r="BL25" s="24"/>
      <c r="BM25" s="24"/>
      <c r="BN25" s="24"/>
      <c r="BO25" s="24"/>
      <c r="BP25" s="24"/>
      <c r="BQ25" s="24"/>
    </row>
    <row r="26" customFormat="false" ht="15" hidden="false" customHeight="true" outlineLevel="0" collapsed="false">
      <c r="A26" s="11"/>
      <c r="B26" s="11"/>
      <c r="C26" s="11"/>
      <c r="D26" s="12"/>
      <c r="E26" s="11"/>
      <c r="F26" s="11"/>
      <c r="G26" s="11"/>
      <c r="H26" s="11"/>
      <c r="I26" s="11"/>
      <c r="J26" s="11"/>
      <c r="K26" s="11"/>
      <c r="L26" s="11"/>
      <c r="M26" s="11"/>
      <c r="N26" s="11"/>
      <c r="O26" s="11"/>
      <c r="P26" s="11"/>
      <c r="Q26" s="11"/>
      <c r="R26" s="14"/>
      <c r="S26" s="14"/>
      <c r="T26" s="14"/>
      <c r="U26" s="14"/>
      <c r="V26" s="12"/>
      <c r="W26" s="12"/>
      <c r="X26" s="12"/>
      <c r="Y26" s="12"/>
      <c r="Z26" s="12"/>
      <c r="AA26" s="27"/>
      <c r="AB26" s="27"/>
      <c r="AC26" s="27"/>
      <c r="AD26" s="27"/>
      <c r="AE26" s="28"/>
      <c r="AF26" s="28"/>
      <c r="AG26" s="28"/>
      <c r="AH26" s="28"/>
      <c r="AI26" s="29"/>
      <c r="AJ26" s="29"/>
      <c r="AK26" s="28"/>
      <c r="AL26" s="12"/>
      <c r="AM26" s="12"/>
      <c r="AN26" s="11"/>
      <c r="AO26" s="11"/>
      <c r="AP26" s="20"/>
      <c r="AQ26" s="20"/>
      <c r="AR26" s="20"/>
      <c r="AS26" s="20"/>
      <c r="AT26" s="20"/>
      <c r="AU26" s="20"/>
      <c r="AV26" s="20"/>
      <c r="AW26" s="11"/>
      <c r="AX26" s="11"/>
      <c r="AY26" s="11"/>
      <c r="AZ26" s="11"/>
      <c r="BA26" s="21"/>
      <c r="BB26" s="21"/>
      <c r="BC26" s="21"/>
      <c r="BD26" s="24"/>
      <c r="BE26" s="24"/>
      <c r="BF26" s="24"/>
      <c r="BG26" s="24"/>
      <c r="BH26" s="24"/>
      <c r="BI26" s="24"/>
      <c r="BJ26" s="24"/>
      <c r="BK26" s="24"/>
      <c r="BL26" s="24"/>
      <c r="BM26" s="24"/>
      <c r="BN26" s="24"/>
      <c r="BO26" s="24"/>
      <c r="BP26" s="24"/>
      <c r="BQ26" s="24"/>
    </row>
    <row r="27" customFormat="false" ht="15" hidden="false" customHeight="true" outlineLevel="0" collapsed="false">
      <c r="A27" s="11"/>
      <c r="B27" s="11"/>
      <c r="C27" s="11"/>
      <c r="D27" s="12"/>
      <c r="E27" s="11"/>
      <c r="F27" s="11"/>
      <c r="G27" s="11"/>
      <c r="H27" s="11"/>
      <c r="I27" s="11"/>
      <c r="J27" s="11"/>
      <c r="K27" s="11"/>
      <c r="L27" s="11"/>
      <c r="M27" s="11"/>
      <c r="N27" s="11"/>
      <c r="O27" s="11"/>
      <c r="P27" s="11"/>
      <c r="Q27" s="11"/>
      <c r="R27" s="14"/>
      <c r="S27" s="14"/>
      <c r="T27" s="14"/>
      <c r="U27" s="14"/>
      <c r="V27" s="12"/>
      <c r="W27" s="12"/>
      <c r="X27" s="12"/>
      <c r="Y27" s="12"/>
      <c r="Z27" s="12"/>
      <c r="AA27" s="27"/>
      <c r="AB27" s="27"/>
      <c r="AC27" s="27"/>
      <c r="AD27" s="27"/>
      <c r="AE27" s="28"/>
      <c r="AF27" s="28"/>
      <c r="AG27" s="28"/>
      <c r="AH27" s="28"/>
      <c r="AI27" s="29"/>
      <c r="AJ27" s="29"/>
      <c r="AK27" s="28"/>
      <c r="AL27" s="12"/>
      <c r="AM27" s="12"/>
      <c r="AN27" s="11"/>
      <c r="AO27" s="11"/>
      <c r="AP27" s="20"/>
      <c r="AQ27" s="20"/>
      <c r="AR27" s="20"/>
      <c r="AS27" s="20"/>
      <c r="AT27" s="20"/>
      <c r="AU27" s="20"/>
      <c r="AV27" s="20"/>
      <c r="AW27" s="11"/>
      <c r="AX27" s="11"/>
      <c r="AY27" s="11"/>
      <c r="AZ27" s="11"/>
      <c r="BA27" s="21"/>
      <c r="BB27" s="21"/>
      <c r="BC27" s="21"/>
      <c r="BD27" s="24"/>
      <c r="BE27" s="24"/>
      <c r="BF27" s="24"/>
      <c r="BG27" s="24"/>
      <c r="BH27" s="24"/>
      <c r="BI27" s="24"/>
      <c r="BJ27" s="24"/>
      <c r="BK27" s="24"/>
      <c r="BL27" s="24"/>
      <c r="BM27" s="24"/>
      <c r="BN27" s="24"/>
      <c r="BO27" s="24"/>
      <c r="BP27" s="24"/>
      <c r="BQ27" s="24"/>
    </row>
    <row r="28" customFormat="false" ht="15" hidden="false" customHeight="true" outlineLevel="0" collapsed="false">
      <c r="A28" s="11"/>
      <c r="B28" s="11"/>
      <c r="C28" s="11"/>
      <c r="D28" s="12"/>
      <c r="E28" s="11"/>
      <c r="F28" s="11"/>
      <c r="G28" s="11"/>
      <c r="H28" s="11"/>
      <c r="I28" s="11"/>
      <c r="J28" s="11"/>
      <c r="K28" s="11"/>
      <c r="L28" s="11"/>
      <c r="M28" s="11"/>
      <c r="N28" s="11"/>
      <c r="O28" s="11"/>
      <c r="P28" s="11"/>
      <c r="Q28" s="11"/>
      <c r="R28" s="14"/>
      <c r="S28" s="14"/>
      <c r="T28" s="14"/>
      <c r="U28" s="14"/>
      <c r="V28" s="12"/>
      <c r="W28" s="12"/>
      <c r="X28" s="12"/>
      <c r="Y28" s="12"/>
      <c r="Z28" s="12"/>
      <c r="AA28" s="27"/>
      <c r="AB28" s="27"/>
      <c r="AC28" s="27"/>
      <c r="AD28" s="27"/>
      <c r="AE28" s="28"/>
      <c r="AF28" s="28"/>
      <c r="AG28" s="28"/>
      <c r="AH28" s="28"/>
      <c r="AI28" s="29"/>
      <c r="AJ28" s="29"/>
      <c r="AK28" s="28"/>
      <c r="AL28" s="12"/>
      <c r="AM28" s="12"/>
      <c r="AN28" s="11"/>
      <c r="AO28" s="11"/>
      <c r="AP28" s="20"/>
      <c r="AQ28" s="20"/>
      <c r="AR28" s="20"/>
      <c r="AS28" s="20"/>
      <c r="AT28" s="20"/>
      <c r="AU28" s="20"/>
      <c r="AV28" s="20"/>
      <c r="AW28" s="11"/>
      <c r="AX28" s="11"/>
      <c r="AY28" s="11"/>
      <c r="AZ28" s="11"/>
      <c r="BA28" s="21"/>
      <c r="BB28" s="21"/>
      <c r="BC28" s="21"/>
      <c r="BD28" s="24"/>
      <c r="BE28" s="24"/>
      <c r="BF28" s="24"/>
      <c r="BG28" s="24"/>
      <c r="BH28" s="24"/>
      <c r="BI28" s="24"/>
      <c r="BJ28" s="24"/>
      <c r="BK28" s="24"/>
      <c r="BL28" s="24"/>
      <c r="BM28" s="24"/>
      <c r="BN28" s="24"/>
      <c r="BO28" s="24"/>
      <c r="BP28" s="24"/>
      <c r="BQ28" s="24"/>
    </row>
    <row r="29" customFormat="false" ht="15" hidden="false" customHeight="true" outlineLevel="0" collapsed="false">
      <c r="A29" s="11"/>
      <c r="B29" s="11"/>
      <c r="C29" s="11"/>
      <c r="D29" s="12"/>
      <c r="E29" s="11"/>
      <c r="F29" s="11"/>
      <c r="G29" s="11"/>
      <c r="H29" s="11"/>
      <c r="I29" s="11"/>
      <c r="J29" s="11"/>
      <c r="K29" s="11"/>
      <c r="L29" s="11"/>
      <c r="M29" s="11"/>
      <c r="N29" s="11"/>
      <c r="O29" s="11"/>
      <c r="P29" s="11"/>
      <c r="Q29" s="11"/>
      <c r="R29" s="14"/>
      <c r="S29" s="14"/>
      <c r="T29" s="14"/>
      <c r="U29" s="14"/>
      <c r="V29" s="12"/>
      <c r="W29" s="12"/>
      <c r="X29" s="12"/>
      <c r="Y29" s="12"/>
      <c r="Z29" s="12"/>
      <c r="AA29" s="27"/>
      <c r="AB29" s="27"/>
      <c r="AC29" s="27"/>
      <c r="AD29" s="27"/>
      <c r="AE29" s="28"/>
      <c r="AF29" s="28"/>
      <c r="AG29" s="28"/>
      <c r="AH29" s="28"/>
      <c r="AI29" s="29"/>
      <c r="AJ29" s="29"/>
      <c r="AK29" s="28"/>
      <c r="AL29" s="12"/>
      <c r="AM29" s="12"/>
      <c r="AN29" s="11"/>
      <c r="AO29" s="11"/>
      <c r="AP29" s="20"/>
      <c r="AQ29" s="20"/>
      <c r="AR29" s="20"/>
      <c r="AS29" s="20"/>
      <c r="AT29" s="20"/>
      <c r="AU29" s="20"/>
      <c r="AV29" s="20"/>
      <c r="AW29" s="11"/>
      <c r="AX29" s="11"/>
      <c r="AY29" s="11"/>
      <c r="AZ29" s="11"/>
      <c r="BA29" s="21"/>
      <c r="BB29" s="21"/>
      <c r="BC29" s="21"/>
      <c r="BD29" s="24"/>
      <c r="BE29" s="24"/>
      <c r="BF29" s="24"/>
      <c r="BG29" s="24"/>
      <c r="BH29" s="24"/>
      <c r="BI29" s="24"/>
      <c r="BJ29" s="24"/>
      <c r="BK29" s="24"/>
      <c r="BL29" s="24"/>
      <c r="BM29" s="24"/>
      <c r="BN29" s="24"/>
      <c r="BO29" s="24"/>
      <c r="BP29" s="24"/>
      <c r="BQ29" s="24"/>
    </row>
    <row r="30" customFormat="false" ht="15" hidden="false" customHeight="true" outlineLevel="0" collapsed="false">
      <c r="A30" s="11"/>
      <c r="B30" s="11"/>
      <c r="C30" s="11"/>
      <c r="D30" s="12"/>
      <c r="E30" s="11"/>
      <c r="F30" s="11"/>
      <c r="G30" s="11"/>
      <c r="H30" s="11"/>
      <c r="I30" s="11"/>
      <c r="J30" s="11"/>
      <c r="K30" s="11"/>
      <c r="L30" s="11"/>
      <c r="M30" s="11"/>
      <c r="N30" s="11"/>
      <c r="O30" s="11"/>
      <c r="P30" s="11"/>
      <c r="Q30" s="11"/>
      <c r="R30" s="14"/>
      <c r="S30" s="14"/>
      <c r="T30" s="14"/>
      <c r="U30" s="14"/>
      <c r="V30" s="12"/>
      <c r="W30" s="12"/>
      <c r="X30" s="12"/>
      <c r="Y30" s="12"/>
      <c r="Z30" s="12"/>
      <c r="AA30" s="27"/>
      <c r="AB30" s="27"/>
      <c r="AC30" s="27"/>
      <c r="AD30" s="27"/>
      <c r="AE30" s="28"/>
      <c r="AF30" s="28"/>
      <c r="AG30" s="28"/>
      <c r="AH30" s="28"/>
      <c r="AI30" s="29"/>
      <c r="AJ30" s="29"/>
      <c r="AK30" s="28"/>
      <c r="AL30" s="12"/>
      <c r="AM30" s="12"/>
      <c r="AN30" s="11"/>
      <c r="AO30" s="11"/>
      <c r="AP30" s="20"/>
      <c r="AQ30" s="20"/>
      <c r="AR30" s="20"/>
      <c r="AS30" s="20"/>
      <c r="AT30" s="20"/>
      <c r="AU30" s="20"/>
      <c r="AV30" s="20"/>
      <c r="AW30" s="11"/>
      <c r="AX30" s="11"/>
      <c r="AY30" s="11"/>
      <c r="AZ30" s="11"/>
      <c r="BA30" s="21"/>
      <c r="BB30" s="21"/>
      <c r="BC30" s="21"/>
      <c r="BD30" s="24"/>
      <c r="BE30" s="24"/>
      <c r="BF30" s="24"/>
      <c r="BG30" s="24"/>
      <c r="BH30" s="24"/>
      <c r="BI30" s="24"/>
      <c r="BJ30" s="24"/>
      <c r="BK30" s="24"/>
      <c r="BL30" s="24"/>
      <c r="BM30" s="24"/>
      <c r="BN30" s="24"/>
      <c r="BO30" s="24"/>
      <c r="BP30" s="24"/>
      <c r="BQ30" s="24"/>
    </row>
    <row r="31" customFormat="false" ht="15" hidden="false" customHeight="true" outlineLevel="0" collapsed="false">
      <c r="A31" s="11"/>
      <c r="B31" s="11"/>
      <c r="C31" s="11"/>
      <c r="D31" s="12"/>
      <c r="E31" s="11"/>
      <c r="F31" s="11"/>
      <c r="G31" s="11"/>
      <c r="H31" s="11"/>
      <c r="I31" s="11"/>
      <c r="J31" s="11"/>
      <c r="K31" s="11"/>
      <c r="L31" s="11"/>
      <c r="M31" s="11"/>
      <c r="N31" s="11"/>
      <c r="O31" s="11"/>
      <c r="P31" s="11"/>
      <c r="Q31" s="11"/>
      <c r="R31" s="14"/>
      <c r="S31" s="14"/>
      <c r="T31" s="14"/>
      <c r="U31" s="14"/>
      <c r="V31" s="12"/>
      <c r="W31" s="12"/>
      <c r="X31" s="12"/>
      <c r="Y31" s="12"/>
      <c r="Z31" s="12"/>
      <c r="AA31" s="27"/>
      <c r="AB31" s="27"/>
      <c r="AC31" s="27"/>
      <c r="AD31" s="27"/>
      <c r="AE31" s="28"/>
      <c r="AF31" s="28"/>
      <c r="AG31" s="28"/>
      <c r="AH31" s="28"/>
      <c r="AI31" s="29"/>
      <c r="AJ31" s="29"/>
      <c r="AK31" s="28"/>
      <c r="AL31" s="12"/>
      <c r="AM31" s="12"/>
      <c r="AN31" s="11"/>
      <c r="AO31" s="11"/>
      <c r="AP31" s="20"/>
      <c r="AQ31" s="20"/>
      <c r="AR31" s="20"/>
      <c r="AS31" s="20"/>
      <c r="AT31" s="20"/>
      <c r="AU31" s="20"/>
      <c r="AV31" s="20"/>
      <c r="AW31" s="11"/>
      <c r="AX31" s="11"/>
      <c r="AY31" s="11"/>
      <c r="AZ31" s="11"/>
      <c r="BA31" s="21"/>
      <c r="BB31" s="21"/>
      <c r="BC31" s="21"/>
      <c r="BD31" s="24"/>
      <c r="BE31" s="24"/>
      <c r="BF31" s="24"/>
      <c r="BG31" s="24"/>
      <c r="BH31" s="24"/>
      <c r="BI31" s="24"/>
      <c r="BJ31" s="24"/>
      <c r="BK31" s="24"/>
      <c r="BL31" s="24"/>
      <c r="BM31" s="24"/>
      <c r="BN31" s="24"/>
      <c r="BO31" s="24"/>
      <c r="BP31" s="24"/>
      <c r="BQ31" s="24"/>
    </row>
    <row r="32" customFormat="false" ht="15" hidden="false" customHeight="true" outlineLevel="0" collapsed="false">
      <c r="A32" s="11"/>
      <c r="B32" s="11"/>
      <c r="C32" s="11"/>
      <c r="D32" s="12"/>
      <c r="E32" s="11"/>
      <c r="F32" s="11"/>
      <c r="G32" s="11"/>
      <c r="H32" s="11"/>
      <c r="I32" s="11"/>
      <c r="J32" s="11"/>
      <c r="K32" s="11"/>
      <c r="L32" s="11"/>
      <c r="M32" s="11"/>
      <c r="N32" s="11"/>
      <c r="O32" s="11"/>
      <c r="P32" s="11"/>
      <c r="Q32" s="11"/>
      <c r="R32" s="14"/>
      <c r="S32" s="14"/>
      <c r="T32" s="14"/>
      <c r="U32" s="14"/>
      <c r="V32" s="12"/>
      <c r="W32" s="12"/>
      <c r="X32" s="12"/>
      <c r="Y32" s="12"/>
      <c r="Z32" s="12"/>
      <c r="AA32" s="27"/>
      <c r="AB32" s="27"/>
      <c r="AC32" s="27"/>
      <c r="AD32" s="27"/>
      <c r="AE32" s="28"/>
      <c r="AF32" s="28"/>
      <c r="AG32" s="28"/>
      <c r="AH32" s="28"/>
      <c r="AI32" s="29"/>
      <c r="AJ32" s="29"/>
      <c r="AK32" s="28"/>
      <c r="AL32" s="12"/>
      <c r="AM32" s="12"/>
      <c r="AN32" s="11"/>
      <c r="AO32" s="11"/>
      <c r="AP32" s="20"/>
      <c r="AQ32" s="20"/>
      <c r="AR32" s="20"/>
      <c r="AS32" s="20"/>
      <c r="AT32" s="20"/>
      <c r="AU32" s="20"/>
      <c r="AV32" s="20"/>
      <c r="AW32" s="11"/>
      <c r="AX32" s="11"/>
      <c r="AY32" s="11"/>
      <c r="AZ32" s="11"/>
      <c r="BA32" s="21"/>
      <c r="BB32" s="21"/>
      <c r="BC32" s="21"/>
      <c r="BD32" s="24"/>
      <c r="BE32" s="24"/>
      <c r="BF32" s="24"/>
      <c r="BG32" s="24"/>
      <c r="BH32" s="24"/>
      <c r="BI32" s="24"/>
      <c r="BJ32" s="24"/>
      <c r="BK32" s="24"/>
      <c r="BL32" s="24"/>
      <c r="BM32" s="24"/>
      <c r="BN32" s="24"/>
      <c r="BO32" s="24"/>
      <c r="BP32" s="24"/>
      <c r="BQ32" s="24"/>
    </row>
    <row r="33" customFormat="false" ht="15" hidden="false" customHeight="true" outlineLevel="0" collapsed="false">
      <c r="A33" s="11"/>
      <c r="B33" s="11"/>
      <c r="C33" s="11"/>
      <c r="D33" s="12"/>
      <c r="E33" s="11"/>
      <c r="F33" s="11"/>
      <c r="G33" s="11"/>
      <c r="H33" s="11"/>
      <c r="I33" s="11"/>
      <c r="J33" s="11"/>
      <c r="K33" s="11"/>
      <c r="L33" s="11"/>
      <c r="M33" s="11"/>
      <c r="N33" s="11"/>
      <c r="O33" s="11"/>
      <c r="P33" s="11"/>
      <c r="Q33" s="11"/>
      <c r="R33" s="14"/>
      <c r="S33" s="14"/>
      <c r="T33" s="14"/>
      <c r="U33" s="14"/>
      <c r="V33" s="12"/>
      <c r="W33" s="12"/>
      <c r="X33" s="12"/>
      <c r="Y33" s="12"/>
      <c r="Z33" s="12"/>
      <c r="AA33" s="27"/>
      <c r="AB33" s="27"/>
      <c r="AC33" s="27"/>
      <c r="AD33" s="27"/>
      <c r="AE33" s="28"/>
      <c r="AF33" s="28"/>
      <c r="AG33" s="28"/>
      <c r="AH33" s="28"/>
      <c r="AI33" s="29"/>
      <c r="AJ33" s="29"/>
      <c r="AK33" s="28"/>
      <c r="AL33" s="12"/>
      <c r="AM33" s="12"/>
      <c r="AN33" s="11"/>
      <c r="AO33" s="11"/>
      <c r="AP33" s="20"/>
      <c r="AQ33" s="20"/>
      <c r="AR33" s="20"/>
      <c r="AS33" s="20"/>
      <c r="AT33" s="20"/>
      <c r="AU33" s="20"/>
      <c r="AV33" s="20"/>
      <c r="AW33" s="11"/>
      <c r="AX33" s="11"/>
      <c r="AY33" s="11"/>
      <c r="AZ33" s="11"/>
      <c r="BA33" s="21"/>
      <c r="BB33" s="21"/>
      <c r="BC33" s="21"/>
      <c r="BD33" s="24"/>
      <c r="BE33" s="24"/>
      <c r="BF33" s="24"/>
      <c r="BG33" s="24"/>
      <c r="BH33" s="24"/>
      <c r="BI33" s="24"/>
      <c r="BJ33" s="24"/>
      <c r="BK33" s="24"/>
      <c r="BL33" s="24"/>
      <c r="BM33" s="24"/>
      <c r="BN33" s="24"/>
      <c r="BO33" s="24"/>
      <c r="BP33" s="24"/>
      <c r="BQ33" s="24"/>
    </row>
    <row r="34" customFormat="false" ht="15" hidden="false" customHeight="true" outlineLevel="0" collapsed="false">
      <c r="A34" s="11"/>
      <c r="B34" s="11"/>
      <c r="C34" s="11"/>
      <c r="D34" s="12"/>
      <c r="E34" s="11"/>
      <c r="F34" s="11"/>
      <c r="G34" s="11"/>
      <c r="H34" s="11"/>
      <c r="I34" s="11"/>
      <c r="J34" s="11"/>
      <c r="K34" s="11"/>
      <c r="L34" s="11"/>
      <c r="M34" s="11"/>
      <c r="N34" s="11"/>
      <c r="O34" s="11"/>
      <c r="P34" s="11"/>
      <c r="Q34" s="11"/>
      <c r="R34" s="14"/>
      <c r="S34" s="14"/>
      <c r="T34" s="14"/>
      <c r="U34" s="14"/>
      <c r="V34" s="12"/>
      <c r="W34" s="12"/>
      <c r="X34" s="12"/>
      <c r="Y34" s="12"/>
      <c r="Z34" s="12"/>
      <c r="AA34" s="27"/>
      <c r="AB34" s="27"/>
      <c r="AC34" s="27"/>
      <c r="AD34" s="27"/>
      <c r="AE34" s="28"/>
      <c r="AF34" s="28"/>
      <c r="AG34" s="28"/>
      <c r="AH34" s="28"/>
      <c r="AI34" s="29"/>
      <c r="AJ34" s="29"/>
      <c r="AK34" s="28"/>
      <c r="AL34" s="12"/>
      <c r="AM34" s="12"/>
      <c r="AN34" s="11"/>
      <c r="AO34" s="11"/>
      <c r="AP34" s="20"/>
      <c r="AQ34" s="20"/>
      <c r="AR34" s="20"/>
      <c r="AS34" s="20"/>
      <c r="AT34" s="20"/>
      <c r="AU34" s="20"/>
      <c r="AV34" s="20"/>
      <c r="AW34" s="11"/>
      <c r="AX34" s="11"/>
      <c r="AY34" s="11"/>
      <c r="AZ34" s="11"/>
      <c r="BA34" s="21"/>
      <c r="BB34" s="21"/>
      <c r="BC34" s="21"/>
      <c r="BD34" s="24"/>
      <c r="BE34" s="24"/>
      <c r="BF34" s="24"/>
      <c r="BG34" s="24"/>
      <c r="BH34" s="24"/>
      <c r="BI34" s="24"/>
      <c r="BJ34" s="24"/>
      <c r="BK34" s="24"/>
      <c r="BL34" s="24"/>
      <c r="BM34" s="24"/>
      <c r="BN34" s="24"/>
      <c r="BO34" s="24"/>
      <c r="BP34" s="24"/>
      <c r="BQ34" s="24"/>
    </row>
    <row r="35" customFormat="false" ht="15" hidden="false" customHeight="true" outlineLevel="0" collapsed="false">
      <c r="A35" s="11"/>
      <c r="B35" s="11"/>
      <c r="C35" s="11"/>
      <c r="D35" s="12"/>
      <c r="E35" s="11"/>
      <c r="F35" s="11"/>
      <c r="G35" s="11"/>
      <c r="H35" s="11"/>
      <c r="I35" s="11"/>
      <c r="J35" s="11"/>
      <c r="K35" s="11"/>
      <c r="L35" s="11"/>
      <c r="M35" s="11"/>
      <c r="N35" s="11"/>
      <c r="O35" s="11"/>
      <c r="P35" s="11"/>
      <c r="Q35" s="11"/>
      <c r="R35" s="14"/>
      <c r="S35" s="14"/>
      <c r="T35" s="14"/>
      <c r="U35" s="14"/>
      <c r="V35" s="12"/>
      <c r="W35" s="12"/>
      <c r="X35" s="12"/>
      <c r="Y35" s="12"/>
      <c r="Z35" s="12"/>
      <c r="AA35" s="27"/>
      <c r="AB35" s="27"/>
      <c r="AC35" s="27"/>
      <c r="AD35" s="27"/>
      <c r="AE35" s="28"/>
      <c r="AF35" s="28"/>
      <c r="AG35" s="28"/>
      <c r="AH35" s="28"/>
      <c r="AI35" s="29"/>
      <c r="AJ35" s="29"/>
      <c r="AK35" s="28"/>
      <c r="AL35" s="12"/>
      <c r="AM35" s="12"/>
      <c r="AN35" s="11"/>
      <c r="AO35" s="11"/>
      <c r="AP35" s="20"/>
      <c r="AQ35" s="20"/>
      <c r="AR35" s="20"/>
      <c r="AS35" s="20"/>
      <c r="AT35" s="20"/>
      <c r="AU35" s="20"/>
      <c r="AV35" s="20"/>
      <c r="AW35" s="11"/>
      <c r="AX35" s="11"/>
      <c r="AY35" s="11"/>
      <c r="AZ35" s="11"/>
      <c r="BA35" s="21"/>
      <c r="BB35" s="21"/>
      <c r="BC35" s="21"/>
      <c r="BD35" s="24"/>
      <c r="BE35" s="24"/>
      <c r="BF35" s="24"/>
      <c r="BG35" s="24"/>
      <c r="BH35" s="24"/>
      <c r="BI35" s="24"/>
      <c r="BJ35" s="24"/>
      <c r="BK35" s="24"/>
      <c r="BL35" s="24"/>
      <c r="BM35" s="24"/>
      <c r="BN35" s="24"/>
      <c r="BO35" s="24"/>
      <c r="BP35" s="24"/>
      <c r="BQ35" s="24"/>
    </row>
    <row r="36" customFormat="false" ht="15" hidden="false" customHeight="true" outlineLevel="0" collapsed="false">
      <c r="A36" s="11"/>
      <c r="B36" s="11"/>
      <c r="C36" s="11"/>
      <c r="D36" s="12"/>
      <c r="E36" s="11"/>
      <c r="F36" s="11"/>
      <c r="G36" s="11"/>
      <c r="H36" s="11"/>
      <c r="I36" s="11"/>
      <c r="J36" s="11"/>
      <c r="K36" s="11"/>
      <c r="L36" s="11"/>
      <c r="M36" s="11"/>
      <c r="N36" s="11"/>
      <c r="O36" s="11"/>
      <c r="P36" s="11"/>
      <c r="Q36" s="11"/>
      <c r="R36" s="14"/>
      <c r="S36" s="14"/>
      <c r="T36" s="14"/>
      <c r="U36" s="14"/>
      <c r="V36" s="12"/>
      <c r="W36" s="12"/>
      <c r="X36" s="12"/>
      <c r="Y36" s="12"/>
      <c r="Z36" s="12"/>
      <c r="AA36" s="27"/>
      <c r="AB36" s="27"/>
      <c r="AC36" s="27"/>
      <c r="AD36" s="27"/>
      <c r="AE36" s="28"/>
      <c r="AF36" s="28"/>
      <c r="AG36" s="28"/>
      <c r="AH36" s="28"/>
      <c r="AI36" s="29"/>
      <c r="AJ36" s="29"/>
      <c r="AK36" s="28"/>
      <c r="AL36" s="12"/>
      <c r="AM36" s="12"/>
      <c r="AN36" s="11"/>
      <c r="AO36" s="11"/>
      <c r="AP36" s="20"/>
      <c r="AQ36" s="20"/>
      <c r="AR36" s="20"/>
      <c r="AS36" s="20"/>
      <c r="AT36" s="20"/>
      <c r="AU36" s="20"/>
      <c r="AV36" s="20"/>
      <c r="AW36" s="11"/>
      <c r="AX36" s="11"/>
      <c r="AY36" s="11"/>
      <c r="AZ36" s="11"/>
      <c r="BA36" s="21"/>
      <c r="BB36" s="21"/>
      <c r="BC36" s="21"/>
      <c r="BD36" s="24"/>
      <c r="BE36" s="24"/>
      <c r="BF36" s="24"/>
      <c r="BG36" s="24"/>
      <c r="BH36" s="24"/>
      <c r="BI36" s="24"/>
      <c r="BJ36" s="24"/>
      <c r="BK36" s="24"/>
      <c r="BL36" s="24"/>
      <c r="BM36" s="24"/>
      <c r="BN36" s="24"/>
      <c r="BO36" s="24"/>
      <c r="BP36" s="24"/>
      <c r="BQ36" s="24"/>
    </row>
    <row r="37" customFormat="false" ht="15" hidden="false" customHeight="true" outlineLevel="0" collapsed="false">
      <c r="A37" s="11"/>
      <c r="B37" s="11"/>
      <c r="C37" s="11"/>
      <c r="D37" s="12"/>
      <c r="E37" s="11"/>
      <c r="F37" s="11"/>
      <c r="G37" s="11"/>
      <c r="H37" s="11"/>
      <c r="I37" s="11"/>
      <c r="J37" s="11"/>
      <c r="K37" s="11"/>
      <c r="L37" s="11"/>
      <c r="M37" s="11"/>
      <c r="N37" s="11"/>
      <c r="O37" s="11"/>
      <c r="P37" s="11"/>
      <c r="Q37" s="11"/>
      <c r="R37" s="14"/>
      <c r="S37" s="14"/>
      <c r="T37" s="14"/>
      <c r="U37" s="14"/>
      <c r="V37" s="12"/>
      <c r="W37" s="12"/>
      <c r="X37" s="12"/>
      <c r="Y37" s="12"/>
      <c r="Z37" s="12"/>
      <c r="AA37" s="27"/>
      <c r="AB37" s="27"/>
      <c r="AC37" s="27"/>
      <c r="AD37" s="27"/>
      <c r="AE37" s="28"/>
      <c r="AF37" s="28"/>
      <c r="AG37" s="28"/>
      <c r="AH37" s="28"/>
      <c r="AI37" s="29"/>
      <c r="AJ37" s="29"/>
      <c r="AK37" s="28"/>
      <c r="AL37" s="12"/>
      <c r="AM37" s="12"/>
      <c r="AN37" s="11"/>
      <c r="AO37" s="11"/>
      <c r="AP37" s="20"/>
      <c r="AQ37" s="20"/>
      <c r="AR37" s="20"/>
      <c r="AS37" s="20"/>
      <c r="AT37" s="20"/>
      <c r="AU37" s="20"/>
      <c r="AV37" s="20"/>
      <c r="AW37" s="11"/>
      <c r="AX37" s="11"/>
      <c r="AY37" s="11"/>
      <c r="AZ37" s="11"/>
      <c r="BA37" s="21"/>
      <c r="BB37" s="21"/>
      <c r="BC37" s="21"/>
      <c r="BD37" s="24"/>
      <c r="BE37" s="24"/>
      <c r="BF37" s="24"/>
      <c r="BG37" s="24"/>
      <c r="BH37" s="24"/>
      <c r="BI37" s="24"/>
      <c r="BJ37" s="24"/>
      <c r="BK37" s="24"/>
      <c r="BL37" s="24"/>
      <c r="BM37" s="24"/>
      <c r="BN37" s="24"/>
      <c r="BO37" s="24"/>
      <c r="BP37" s="24"/>
      <c r="BQ37" s="24"/>
    </row>
    <row r="38" customFormat="false" ht="15" hidden="false" customHeight="true" outlineLevel="0" collapsed="false">
      <c r="A38" s="11"/>
      <c r="B38" s="11"/>
      <c r="C38" s="11"/>
      <c r="D38" s="12"/>
      <c r="E38" s="11"/>
      <c r="F38" s="11"/>
      <c r="G38" s="11"/>
      <c r="H38" s="11"/>
      <c r="I38" s="11"/>
      <c r="J38" s="11"/>
      <c r="K38" s="11"/>
      <c r="L38" s="11"/>
      <c r="M38" s="11"/>
      <c r="N38" s="11"/>
      <c r="O38" s="11"/>
      <c r="P38" s="11"/>
      <c r="Q38" s="11"/>
      <c r="R38" s="14"/>
      <c r="S38" s="14"/>
      <c r="T38" s="14"/>
      <c r="U38" s="14"/>
      <c r="V38" s="12"/>
      <c r="W38" s="12"/>
      <c r="X38" s="12"/>
      <c r="Y38" s="12"/>
      <c r="Z38" s="12"/>
      <c r="AA38" s="27"/>
      <c r="AB38" s="27"/>
      <c r="AC38" s="27"/>
      <c r="AD38" s="27"/>
      <c r="AE38" s="28"/>
      <c r="AF38" s="28"/>
      <c r="AG38" s="28"/>
      <c r="AH38" s="28"/>
      <c r="AI38" s="29"/>
      <c r="AJ38" s="29"/>
      <c r="AK38" s="28"/>
      <c r="AL38" s="12"/>
      <c r="AM38" s="12"/>
      <c r="AN38" s="11"/>
      <c r="AO38" s="11"/>
      <c r="AP38" s="20"/>
      <c r="AQ38" s="20"/>
      <c r="AR38" s="20"/>
      <c r="AS38" s="20"/>
      <c r="AT38" s="20"/>
      <c r="AU38" s="20"/>
      <c r="AV38" s="20"/>
      <c r="AW38" s="11"/>
      <c r="AX38" s="11"/>
      <c r="AY38" s="11"/>
      <c r="AZ38" s="11"/>
      <c r="BA38" s="21"/>
      <c r="BB38" s="21"/>
      <c r="BC38" s="21"/>
      <c r="BD38" s="24"/>
      <c r="BE38" s="24"/>
      <c r="BF38" s="24"/>
      <c r="BG38" s="24"/>
      <c r="BH38" s="24"/>
      <c r="BI38" s="24"/>
      <c r="BJ38" s="24"/>
      <c r="BK38" s="24"/>
      <c r="BL38" s="24"/>
      <c r="BM38" s="24"/>
      <c r="BN38" s="24"/>
      <c r="BO38" s="24"/>
      <c r="BP38" s="24"/>
      <c r="BQ38" s="24"/>
    </row>
    <row r="39" customFormat="false" ht="15" hidden="false" customHeight="true" outlineLevel="0" collapsed="false">
      <c r="A39" s="11"/>
      <c r="B39" s="11"/>
      <c r="C39" s="11"/>
      <c r="D39" s="12"/>
      <c r="E39" s="11"/>
      <c r="F39" s="11"/>
      <c r="G39" s="11"/>
      <c r="H39" s="11"/>
      <c r="I39" s="11"/>
      <c r="J39" s="11"/>
      <c r="K39" s="11"/>
      <c r="L39" s="11"/>
      <c r="M39" s="11"/>
      <c r="N39" s="11"/>
      <c r="O39" s="11"/>
      <c r="P39" s="11"/>
      <c r="Q39" s="11"/>
      <c r="R39" s="14"/>
      <c r="S39" s="14"/>
      <c r="T39" s="14"/>
      <c r="U39" s="14"/>
      <c r="V39" s="12"/>
      <c r="W39" s="12"/>
      <c r="X39" s="12"/>
      <c r="Y39" s="12"/>
      <c r="Z39" s="12"/>
      <c r="AA39" s="27"/>
      <c r="AB39" s="27"/>
      <c r="AC39" s="27"/>
      <c r="AD39" s="27"/>
      <c r="AE39" s="28"/>
      <c r="AF39" s="28"/>
      <c r="AG39" s="28"/>
      <c r="AH39" s="28"/>
      <c r="AI39" s="29"/>
      <c r="AJ39" s="29"/>
      <c r="AK39" s="28"/>
      <c r="AL39" s="12"/>
      <c r="AM39" s="12"/>
      <c r="AN39" s="11"/>
      <c r="AO39" s="11"/>
      <c r="AP39" s="20"/>
      <c r="AQ39" s="20"/>
      <c r="AR39" s="20"/>
      <c r="AS39" s="20"/>
      <c r="AT39" s="20"/>
      <c r="AU39" s="20"/>
      <c r="AV39" s="20"/>
      <c r="AW39" s="11"/>
      <c r="AX39" s="11"/>
      <c r="AY39" s="11"/>
      <c r="AZ39" s="11"/>
      <c r="BA39" s="21"/>
      <c r="BB39" s="21"/>
      <c r="BC39" s="21"/>
      <c r="BD39" s="24"/>
      <c r="BE39" s="24"/>
      <c r="BF39" s="24"/>
      <c r="BG39" s="24"/>
      <c r="BH39" s="24"/>
      <c r="BI39" s="24"/>
      <c r="BJ39" s="24"/>
      <c r="BK39" s="24"/>
      <c r="BL39" s="24"/>
      <c r="BM39" s="24"/>
      <c r="BN39" s="24"/>
      <c r="BO39" s="24"/>
      <c r="BP39" s="24"/>
      <c r="BQ39" s="24"/>
    </row>
    <row r="40" customFormat="false" ht="15" hidden="false" customHeight="true" outlineLevel="0" collapsed="false">
      <c r="A40" s="11"/>
      <c r="B40" s="11"/>
      <c r="C40" s="11"/>
      <c r="D40" s="12"/>
      <c r="E40" s="11"/>
      <c r="F40" s="11"/>
      <c r="G40" s="11"/>
      <c r="H40" s="11"/>
      <c r="I40" s="11"/>
      <c r="J40" s="11"/>
      <c r="K40" s="11"/>
      <c r="L40" s="11"/>
      <c r="M40" s="11"/>
      <c r="N40" s="11"/>
      <c r="O40" s="11"/>
      <c r="P40" s="11"/>
      <c r="Q40" s="11"/>
      <c r="R40" s="14"/>
      <c r="S40" s="14"/>
      <c r="T40" s="14"/>
      <c r="U40" s="14"/>
      <c r="V40" s="12"/>
      <c r="W40" s="12"/>
      <c r="X40" s="12"/>
      <c r="Y40" s="12"/>
      <c r="Z40" s="12"/>
      <c r="AA40" s="27"/>
      <c r="AB40" s="27"/>
      <c r="AC40" s="27"/>
      <c r="AD40" s="27"/>
      <c r="AE40" s="28"/>
      <c r="AF40" s="28"/>
      <c r="AG40" s="28"/>
      <c r="AH40" s="28"/>
      <c r="AI40" s="29"/>
      <c r="AJ40" s="29"/>
      <c r="AK40" s="28"/>
      <c r="AL40" s="12"/>
      <c r="AM40" s="12"/>
      <c r="AN40" s="11"/>
      <c r="AO40" s="11"/>
      <c r="AP40" s="20"/>
      <c r="AQ40" s="20"/>
      <c r="AR40" s="20"/>
      <c r="AS40" s="20"/>
      <c r="AT40" s="20"/>
      <c r="AU40" s="20"/>
      <c r="AV40" s="20"/>
      <c r="AW40" s="11"/>
      <c r="AX40" s="11"/>
      <c r="AY40" s="11"/>
      <c r="AZ40" s="11"/>
      <c r="BA40" s="21"/>
      <c r="BB40" s="21"/>
      <c r="BC40" s="21"/>
      <c r="BD40" s="24"/>
      <c r="BE40" s="24"/>
      <c r="BF40" s="24"/>
      <c r="BG40" s="24"/>
      <c r="BH40" s="24"/>
      <c r="BI40" s="24"/>
      <c r="BJ40" s="24"/>
      <c r="BK40" s="24"/>
      <c r="BL40" s="24"/>
      <c r="BM40" s="24"/>
      <c r="BN40" s="24"/>
      <c r="BO40" s="24"/>
      <c r="BP40" s="24"/>
      <c r="BQ40" s="24"/>
    </row>
    <row r="41" customFormat="false" ht="15" hidden="false" customHeight="true" outlineLevel="0" collapsed="false">
      <c r="A41" s="11"/>
      <c r="B41" s="11"/>
      <c r="C41" s="11"/>
      <c r="D41" s="12"/>
      <c r="E41" s="11"/>
      <c r="F41" s="11"/>
      <c r="G41" s="11"/>
      <c r="H41" s="11"/>
      <c r="I41" s="11"/>
      <c r="J41" s="11"/>
      <c r="K41" s="11"/>
      <c r="L41" s="11"/>
      <c r="M41" s="11"/>
      <c r="N41" s="11"/>
      <c r="O41" s="11"/>
      <c r="P41" s="11"/>
      <c r="Q41" s="11"/>
      <c r="R41" s="14"/>
      <c r="S41" s="14"/>
      <c r="T41" s="14"/>
      <c r="U41" s="14"/>
      <c r="V41" s="12"/>
      <c r="W41" s="12"/>
      <c r="X41" s="12"/>
      <c r="Y41" s="12"/>
      <c r="Z41" s="12"/>
      <c r="AA41" s="27"/>
      <c r="AB41" s="27"/>
      <c r="AC41" s="27"/>
      <c r="AD41" s="27"/>
      <c r="AE41" s="28"/>
      <c r="AF41" s="28"/>
      <c r="AG41" s="28"/>
      <c r="AH41" s="28"/>
      <c r="AI41" s="29"/>
      <c r="AJ41" s="29"/>
      <c r="AK41" s="28"/>
      <c r="AL41" s="12"/>
      <c r="AM41" s="12"/>
      <c r="AN41" s="11"/>
      <c r="AO41" s="11"/>
      <c r="AP41" s="20"/>
      <c r="AQ41" s="20"/>
      <c r="AR41" s="20"/>
      <c r="AS41" s="20"/>
      <c r="AT41" s="20"/>
      <c r="AU41" s="20"/>
      <c r="AV41" s="20"/>
      <c r="AW41" s="11"/>
      <c r="AX41" s="11"/>
      <c r="AY41" s="11"/>
      <c r="AZ41" s="11"/>
      <c r="BA41" s="21"/>
      <c r="BB41" s="21"/>
      <c r="BC41" s="21"/>
      <c r="BD41" s="24"/>
      <c r="BE41" s="24"/>
      <c r="BF41" s="24"/>
      <c r="BG41" s="24"/>
      <c r="BH41" s="24"/>
      <c r="BI41" s="24"/>
      <c r="BJ41" s="24"/>
      <c r="BK41" s="24"/>
      <c r="BL41" s="24"/>
      <c r="BM41" s="24"/>
      <c r="BN41" s="24"/>
      <c r="BO41" s="24"/>
      <c r="BP41" s="24"/>
      <c r="BQ41" s="24"/>
    </row>
    <row r="42" customFormat="false" ht="15" hidden="false" customHeight="true" outlineLevel="0" collapsed="false">
      <c r="A42" s="11"/>
      <c r="B42" s="11"/>
      <c r="C42" s="11"/>
      <c r="D42" s="12"/>
      <c r="E42" s="11"/>
      <c r="F42" s="11"/>
      <c r="G42" s="11"/>
      <c r="H42" s="11"/>
      <c r="I42" s="11"/>
      <c r="J42" s="11"/>
      <c r="K42" s="11"/>
      <c r="L42" s="11"/>
      <c r="M42" s="11"/>
      <c r="N42" s="11"/>
      <c r="O42" s="11"/>
      <c r="P42" s="11"/>
      <c r="Q42" s="11"/>
      <c r="R42" s="14"/>
      <c r="S42" s="14"/>
      <c r="T42" s="14"/>
      <c r="U42" s="14"/>
      <c r="V42" s="12"/>
      <c r="W42" s="12"/>
      <c r="X42" s="12"/>
      <c r="Y42" s="12"/>
      <c r="Z42" s="12"/>
      <c r="AA42" s="27"/>
      <c r="AB42" s="27"/>
      <c r="AC42" s="27"/>
      <c r="AD42" s="27"/>
      <c r="AE42" s="28"/>
      <c r="AF42" s="28"/>
      <c r="AG42" s="28"/>
      <c r="AH42" s="28"/>
      <c r="AI42" s="29"/>
      <c r="AJ42" s="29"/>
      <c r="AK42" s="28"/>
      <c r="AL42" s="12"/>
      <c r="AM42" s="12"/>
      <c r="AN42" s="11"/>
      <c r="AO42" s="11"/>
      <c r="AP42" s="20"/>
      <c r="AQ42" s="20"/>
      <c r="AR42" s="20"/>
      <c r="AS42" s="20"/>
      <c r="AT42" s="20"/>
      <c r="AU42" s="20"/>
      <c r="AV42" s="20"/>
      <c r="AW42" s="11"/>
      <c r="AX42" s="11"/>
      <c r="AY42" s="11"/>
      <c r="AZ42" s="11"/>
      <c r="BA42" s="21"/>
      <c r="BB42" s="21"/>
      <c r="BC42" s="21"/>
      <c r="BD42" s="24"/>
      <c r="BE42" s="24"/>
      <c r="BF42" s="24"/>
      <c r="BG42" s="24"/>
      <c r="BH42" s="24"/>
      <c r="BI42" s="24"/>
      <c r="BJ42" s="24"/>
      <c r="BK42" s="24"/>
      <c r="BL42" s="24"/>
      <c r="BM42" s="24"/>
      <c r="BN42" s="24"/>
      <c r="BO42" s="24"/>
      <c r="BP42" s="24"/>
      <c r="BQ42" s="24"/>
    </row>
    <row r="43" customFormat="false" ht="15" hidden="false" customHeight="true" outlineLevel="0" collapsed="false">
      <c r="A43" s="11"/>
      <c r="B43" s="11"/>
      <c r="C43" s="11"/>
      <c r="D43" s="12"/>
      <c r="E43" s="11"/>
      <c r="F43" s="11"/>
      <c r="G43" s="11"/>
      <c r="H43" s="11"/>
      <c r="I43" s="11"/>
      <c r="J43" s="11"/>
      <c r="K43" s="11"/>
      <c r="L43" s="11"/>
      <c r="M43" s="11"/>
      <c r="N43" s="11"/>
      <c r="O43" s="11"/>
      <c r="P43" s="11"/>
      <c r="Q43" s="11"/>
      <c r="R43" s="14"/>
      <c r="S43" s="14"/>
      <c r="T43" s="14"/>
      <c r="U43" s="14"/>
      <c r="V43" s="12"/>
      <c r="W43" s="12"/>
      <c r="X43" s="12"/>
      <c r="Y43" s="12"/>
      <c r="Z43" s="12"/>
      <c r="AA43" s="27"/>
      <c r="AB43" s="27"/>
      <c r="AC43" s="27"/>
      <c r="AD43" s="27"/>
      <c r="AE43" s="28"/>
      <c r="AF43" s="28"/>
      <c r="AG43" s="28"/>
      <c r="AH43" s="28"/>
      <c r="AI43" s="29"/>
      <c r="AJ43" s="29"/>
      <c r="AK43" s="28"/>
      <c r="AL43" s="12"/>
      <c r="AM43" s="12"/>
      <c r="AN43" s="11"/>
      <c r="AO43" s="11"/>
      <c r="AP43" s="20"/>
      <c r="AQ43" s="20"/>
      <c r="AR43" s="20"/>
      <c r="AS43" s="20"/>
      <c r="AT43" s="20"/>
      <c r="AU43" s="20"/>
      <c r="AV43" s="20"/>
      <c r="AW43" s="11"/>
      <c r="AX43" s="11"/>
      <c r="AY43" s="11"/>
      <c r="AZ43" s="11"/>
      <c r="BA43" s="21"/>
      <c r="BB43" s="21"/>
      <c r="BC43" s="21"/>
      <c r="BD43" s="24"/>
      <c r="BE43" s="24"/>
      <c r="BF43" s="24"/>
      <c r="BG43" s="24"/>
      <c r="BH43" s="24"/>
      <c r="BI43" s="24"/>
      <c r="BJ43" s="24"/>
      <c r="BK43" s="24"/>
      <c r="BL43" s="24"/>
      <c r="BM43" s="24"/>
      <c r="BN43" s="24"/>
      <c r="BO43" s="24"/>
      <c r="BP43" s="24"/>
      <c r="BQ43" s="24"/>
    </row>
    <row r="44" customFormat="false" ht="15" hidden="false" customHeight="true" outlineLevel="0" collapsed="false">
      <c r="A44" s="11"/>
      <c r="B44" s="11"/>
      <c r="C44" s="11"/>
      <c r="D44" s="12"/>
      <c r="E44" s="11"/>
      <c r="F44" s="11"/>
      <c r="G44" s="11"/>
      <c r="H44" s="11"/>
      <c r="I44" s="11"/>
      <c r="J44" s="11"/>
      <c r="K44" s="11"/>
      <c r="L44" s="11"/>
      <c r="M44" s="11"/>
      <c r="N44" s="11"/>
      <c r="O44" s="11"/>
      <c r="P44" s="11"/>
      <c r="Q44" s="11"/>
      <c r="R44" s="14"/>
      <c r="S44" s="14"/>
      <c r="T44" s="14"/>
      <c r="U44" s="14"/>
      <c r="V44" s="12"/>
      <c r="W44" s="12"/>
      <c r="X44" s="12"/>
      <c r="Y44" s="12"/>
      <c r="Z44" s="12"/>
      <c r="AA44" s="27"/>
      <c r="AB44" s="27"/>
      <c r="AC44" s="27"/>
      <c r="AD44" s="27"/>
      <c r="AE44" s="28"/>
      <c r="AF44" s="28"/>
      <c r="AG44" s="28"/>
      <c r="AH44" s="28"/>
      <c r="AI44" s="29"/>
      <c r="AJ44" s="29"/>
      <c r="AK44" s="28"/>
      <c r="AL44" s="12"/>
      <c r="AM44" s="12"/>
      <c r="AN44" s="11"/>
      <c r="AO44" s="11"/>
      <c r="AP44" s="20"/>
      <c r="AQ44" s="20"/>
      <c r="AR44" s="20"/>
      <c r="AS44" s="20"/>
      <c r="AT44" s="20"/>
      <c r="AU44" s="20"/>
      <c r="AV44" s="20"/>
      <c r="AW44" s="11"/>
      <c r="AX44" s="11"/>
      <c r="AY44" s="11"/>
      <c r="AZ44" s="11"/>
      <c r="BA44" s="21"/>
      <c r="BB44" s="21"/>
      <c r="BC44" s="21"/>
      <c r="BD44" s="24"/>
      <c r="BE44" s="24"/>
      <c r="BF44" s="24"/>
      <c r="BG44" s="24"/>
      <c r="BH44" s="24"/>
      <c r="BI44" s="24"/>
      <c r="BJ44" s="24"/>
      <c r="BK44" s="24"/>
      <c r="BL44" s="24"/>
      <c r="BM44" s="24"/>
      <c r="BN44" s="24"/>
      <c r="BO44" s="24"/>
      <c r="BP44" s="24"/>
      <c r="BQ44" s="24"/>
    </row>
    <row r="45" customFormat="false" ht="15" hidden="false" customHeight="true" outlineLevel="0" collapsed="false">
      <c r="A45" s="11"/>
      <c r="B45" s="11"/>
      <c r="C45" s="11"/>
      <c r="D45" s="12"/>
      <c r="E45" s="11"/>
      <c r="F45" s="11"/>
      <c r="G45" s="11"/>
      <c r="H45" s="11"/>
      <c r="I45" s="11"/>
      <c r="J45" s="11"/>
      <c r="K45" s="11"/>
      <c r="L45" s="11"/>
      <c r="M45" s="11"/>
      <c r="N45" s="11"/>
      <c r="O45" s="11"/>
      <c r="P45" s="11"/>
      <c r="Q45" s="11"/>
      <c r="R45" s="14"/>
      <c r="S45" s="14"/>
      <c r="T45" s="14"/>
      <c r="U45" s="14"/>
      <c r="V45" s="12"/>
      <c r="W45" s="12"/>
      <c r="X45" s="12"/>
      <c r="Y45" s="12"/>
      <c r="Z45" s="12"/>
      <c r="AA45" s="27"/>
      <c r="AB45" s="27"/>
      <c r="AC45" s="27"/>
      <c r="AD45" s="27"/>
      <c r="AE45" s="28"/>
      <c r="AF45" s="28"/>
      <c r="AG45" s="28"/>
      <c r="AH45" s="28"/>
      <c r="AI45" s="29"/>
      <c r="AJ45" s="29"/>
      <c r="AK45" s="28"/>
      <c r="AL45" s="12"/>
      <c r="AM45" s="12"/>
      <c r="AN45" s="11"/>
      <c r="AO45" s="11"/>
      <c r="AP45" s="20"/>
      <c r="AQ45" s="20"/>
      <c r="AR45" s="20"/>
      <c r="AS45" s="20"/>
      <c r="AT45" s="20"/>
      <c r="AU45" s="20"/>
      <c r="AV45" s="20"/>
      <c r="AW45" s="11"/>
      <c r="AX45" s="11"/>
      <c r="AY45" s="11"/>
      <c r="AZ45" s="11"/>
      <c r="BA45" s="21"/>
      <c r="BB45" s="21"/>
      <c r="BC45" s="21"/>
      <c r="BD45" s="24"/>
      <c r="BE45" s="24"/>
      <c r="BF45" s="24"/>
      <c r="BG45" s="24"/>
      <c r="BH45" s="24"/>
      <c r="BI45" s="24"/>
      <c r="BJ45" s="24"/>
      <c r="BK45" s="24"/>
      <c r="BL45" s="24"/>
      <c r="BM45" s="24"/>
      <c r="BN45" s="24"/>
      <c r="BO45" s="24"/>
      <c r="BP45" s="24"/>
      <c r="BQ45" s="24"/>
    </row>
    <row r="46" customFormat="false" ht="15" hidden="false" customHeight="true" outlineLevel="0" collapsed="false">
      <c r="A46" s="11"/>
      <c r="B46" s="11"/>
      <c r="C46" s="11"/>
      <c r="D46" s="12"/>
      <c r="E46" s="11"/>
      <c r="F46" s="11"/>
      <c r="G46" s="11"/>
      <c r="H46" s="11"/>
      <c r="I46" s="11"/>
      <c r="J46" s="11"/>
      <c r="K46" s="11"/>
      <c r="L46" s="11"/>
      <c r="M46" s="11"/>
      <c r="N46" s="11"/>
      <c r="O46" s="11"/>
      <c r="P46" s="11"/>
      <c r="Q46" s="11"/>
      <c r="R46" s="14"/>
      <c r="S46" s="14"/>
      <c r="T46" s="14"/>
      <c r="U46" s="14"/>
      <c r="V46" s="12"/>
      <c r="W46" s="12"/>
      <c r="X46" s="12"/>
      <c r="Y46" s="12"/>
      <c r="Z46" s="12"/>
      <c r="AA46" s="27"/>
      <c r="AB46" s="27"/>
      <c r="AC46" s="27"/>
      <c r="AD46" s="27"/>
      <c r="AE46" s="28"/>
      <c r="AF46" s="28"/>
      <c r="AG46" s="28"/>
      <c r="AH46" s="28"/>
      <c r="AI46" s="29"/>
      <c r="AJ46" s="29"/>
      <c r="AK46" s="28"/>
      <c r="AL46" s="12"/>
      <c r="AM46" s="12"/>
      <c r="AN46" s="11"/>
      <c r="AO46" s="11"/>
      <c r="AP46" s="20"/>
      <c r="AQ46" s="20"/>
      <c r="AR46" s="20"/>
      <c r="AS46" s="20"/>
      <c r="AT46" s="20"/>
      <c r="AU46" s="20"/>
      <c r="AV46" s="20"/>
      <c r="AW46" s="11"/>
      <c r="AX46" s="11"/>
      <c r="AY46" s="11"/>
      <c r="AZ46" s="11"/>
      <c r="BA46" s="21"/>
      <c r="BB46" s="21"/>
      <c r="BC46" s="21"/>
      <c r="BD46" s="24"/>
      <c r="BE46" s="24"/>
      <c r="BF46" s="24"/>
      <c r="BG46" s="24"/>
      <c r="BH46" s="24"/>
      <c r="BI46" s="24"/>
      <c r="BJ46" s="24"/>
      <c r="BK46" s="24"/>
      <c r="BL46" s="24"/>
      <c r="BM46" s="24"/>
      <c r="BN46" s="24"/>
      <c r="BO46" s="24"/>
      <c r="BP46" s="24"/>
      <c r="BQ46" s="24"/>
    </row>
    <row r="47" customFormat="false" ht="15" hidden="false" customHeight="true" outlineLevel="0" collapsed="false">
      <c r="A47" s="11"/>
      <c r="B47" s="11"/>
      <c r="C47" s="11"/>
      <c r="D47" s="12"/>
      <c r="E47" s="11"/>
      <c r="F47" s="11"/>
      <c r="G47" s="11"/>
      <c r="H47" s="11"/>
      <c r="I47" s="11"/>
      <c r="J47" s="11"/>
      <c r="K47" s="11"/>
      <c r="L47" s="11"/>
      <c r="M47" s="11"/>
      <c r="N47" s="11"/>
      <c r="O47" s="11"/>
      <c r="P47" s="11"/>
      <c r="Q47" s="11"/>
      <c r="R47" s="14"/>
      <c r="S47" s="14"/>
      <c r="T47" s="14"/>
      <c r="U47" s="14"/>
      <c r="V47" s="12"/>
      <c r="W47" s="12"/>
      <c r="X47" s="12"/>
      <c r="Y47" s="12"/>
      <c r="Z47" s="12"/>
      <c r="AA47" s="27"/>
      <c r="AB47" s="27"/>
      <c r="AC47" s="27"/>
      <c r="AD47" s="27"/>
      <c r="AE47" s="28"/>
      <c r="AF47" s="28"/>
      <c r="AG47" s="28"/>
      <c r="AH47" s="28"/>
      <c r="AI47" s="29"/>
      <c r="AJ47" s="29"/>
      <c r="AK47" s="28"/>
      <c r="AL47" s="12"/>
      <c r="AM47" s="12"/>
      <c r="AN47" s="11"/>
      <c r="AO47" s="11"/>
      <c r="AP47" s="20"/>
      <c r="AQ47" s="20"/>
      <c r="AR47" s="20"/>
      <c r="AS47" s="20"/>
      <c r="AT47" s="20"/>
      <c r="AU47" s="20"/>
      <c r="AV47" s="20"/>
      <c r="AW47" s="11"/>
      <c r="AX47" s="11"/>
      <c r="AY47" s="11"/>
      <c r="AZ47" s="11"/>
      <c r="BA47" s="21"/>
      <c r="BB47" s="21"/>
      <c r="BC47" s="21"/>
      <c r="BD47" s="24"/>
      <c r="BE47" s="24"/>
      <c r="BF47" s="24"/>
      <c r="BG47" s="24"/>
      <c r="BH47" s="24"/>
      <c r="BI47" s="24"/>
      <c r="BJ47" s="24"/>
      <c r="BK47" s="24"/>
      <c r="BL47" s="24"/>
      <c r="BM47" s="24"/>
      <c r="BN47" s="24"/>
      <c r="BO47" s="24"/>
      <c r="BP47" s="24"/>
      <c r="BQ47" s="24"/>
    </row>
    <row r="48" customFormat="false" ht="15" hidden="false" customHeight="true" outlineLevel="0" collapsed="false">
      <c r="A48" s="11"/>
      <c r="B48" s="11"/>
      <c r="C48" s="11"/>
      <c r="D48" s="12"/>
      <c r="E48" s="11"/>
      <c r="F48" s="11"/>
      <c r="G48" s="11"/>
      <c r="H48" s="11"/>
      <c r="I48" s="11"/>
      <c r="J48" s="11"/>
      <c r="K48" s="11"/>
      <c r="L48" s="11"/>
      <c r="M48" s="11"/>
      <c r="N48" s="11"/>
      <c r="O48" s="11"/>
      <c r="P48" s="11"/>
      <c r="Q48" s="11"/>
      <c r="R48" s="14"/>
      <c r="S48" s="14"/>
      <c r="T48" s="14"/>
      <c r="U48" s="14"/>
      <c r="V48" s="12"/>
      <c r="W48" s="12"/>
      <c r="X48" s="12"/>
      <c r="Y48" s="12"/>
      <c r="Z48" s="12"/>
      <c r="AA48" s="27"/>
      <c r="AB48" s="27"/>
      <c r="AC48" s="27"/>
      <c r="AD48" s="27"/>
      <c r="AE48" s="28"/>
      <c r="AF48" s="28"/>
      <c r="AG48" s="28"/>
      <c r="AH48" s="28"/>
      <c r="AI48" s="29"/>
      <c r="AJ48" s="29"/>
      <c r="AK48" s="28"/>
      <c r="AL48" s="12"/>
      <c r="AM48" s="12"/>
      <c r="AN48" s="11"/>
      <c r="AO48" s="11"/>
      <c r="AP48" s="20"/>
      <c r="AQ48" s="20"/>
      <c r="AR48" s="20"/>
      <c r="AS48" s="20"/>
      <c r="AT48" s="20"/>
      <c r="AU48" s="20"/>
      <c r="AV48" s="20"/>
      <c r="AW48" s="11"/>
      <c r="AX48" s="11"/>
      <c r="AY48" s="11"/>
      <c r="AZ48" s="11"/>
      <c r="BA48" s="21"/>
      <c r="BB48" s="21"/>
      <c r="BC48" s="21"/>
      <c r="BD48" s="24"/>
      <c r="BE48" s="24"/>
      <c r="BF48" s="24"/>
      <c r="BG48" s="24"/>
      <c r="BH48" s="24"/>
      <c r="BI48" s="24"/>
      <c r="BJ48" s="24"/>
      <c r="BK48" s="24"/>
      <c r="BL48" s="24"/>
      <c r="BM48" s="24"/>
      <c r="BN48" s="24"/>
      <c r="BO48" s="24"/>
      <c r="BP48" s="24"/>
      <c r="BQ48" s="24"/>
    </row>
    <row r="49" customFormat="false" ht="15" hidden="false" customHeight="true" outlineLevel="0" collapsed="false">
      <c r="A49" s="11"/>
      <c r="B49" s="11"/>
      <c r="C49" s="11"/>
      <c r="D49" s="12"/>
      <c r="E49" s="11"/>
      <c r="F49" s="11"/>
      <c r="G49" s="11"/>
      <c r="H49" s="11"/>
      <c r="I49" s="11"/>
      <c r="J49" s="11"/>
      <c r="K49" s="11"/>
      <c r="L49" s="11"/>
      <c r="M49" s="11"/>
      <c r="N49" s="11"/>
      <c r="O49" s="11"/>
      <c r="P49" s="11"/>
      <c r="Q49" s="11"/>
      <c r="R49" s="14"/>
      <c r="S49" s="14"/>
      <c r="T49" s="14"/>
      <c r="U49" s="14"/>
      <c r="V49" s="12"/>
      <c r="W49" s="12"/>
      <c r="X49" s="12"/>
      <c r="Y49" s="12"/>
      <c r="Z49" s="12"/>
      <c r="AA49" s="27"/>
      <c r="AB49" s="27"/>
      <c r="AC49" s="27"/>
      <c r="AD49" s="27"/>
      <c r="AE49" s="28"/>
      <c r="AF49" s="28"/>
      <c r="AG49" s="28"/>
      <c r="AH49" s="28"/>
      <c r="AI49" s="29"/>
      <c r="AJ49" s="29"/>
      <c r="AK49" s="28"/>
      <c r="AL49" s="12"/>
      <c r="AM49" s="12"/>
      <c r="AN49" s="11"/>
      <c r="AO49" s="11"/>
      <c r="AP49" s="20"/>
      <c r="AQ49" s="20"/>
      <c r="AR49" s="20"/>
      <c r="AS49" s="20"/>
      <c r="AT49" s="20"/>
      <c r="AU49" s="20"/>
      <c r="AV49" s="20"/>
      <c r="AW49" s="11"/>
      <c r="AX49" s="11"/>
      <c r="AY49" s="11"/>
      <c r="AZ49" s="11"/>
      <c r="BA49" s="21"/>
      <c r="BB49" s="21"/>
      <c r="BC49" s="21"/>
      <c r="BD49" s="24"/>
      <c r="BE49" s="24"/>
      <c r="BF49" s="24"/>
      <c r="BG49" s="24"/>
      <c r="BH49" s="24"/>
      <c r="BI49" s="24"/>
      <c r="BJ49" s="24"/>
      <c r="BK49" s="24"/>
      <c r="BL49" s="24"/>
      <c r="BM49" s="24"/>
      <c r="BN49" s="24"/>
      <c r="BO49" s="24"/>
      <c r="BP49" s="24"/>
      <c r="BQ49" s="24"/>
    </row>
    <row r="50" customFormat="false" ht="15" hidden="false" customHeight="true" outlineLevel="0" collapsed="false">
      <c r="A50" s="11"/>
      <c r="B50" s="11"/>
      <c r="C50" s="11"/>
      <c r="D50" s="12"/>
      <c r="E50" s="11"/>
      <c r="F50" s="11"/>
      <c r="G50" s="11"/>
      <c r="H50" s="11"/>
      <c r="I50" s="11"/>
      <c r="J50" s="11"/>
      <c r="K50" s="11"/>
      <c r="L50" s="11"/>
      <c r="M50" s="11"/>
      <c r="N50" s="11"/>
      <c r="O50" s="11"/>
      <c r="P50" s="11"/>
      <c r="Q50" s="11"/>
      <c r="R50" s="14"/>
      <c r="S50" s="14"/>
      <c r="T50" s="14"/>
      <c r="U50" s="14"/>
      <c r="V50" s="12"/>
      <c r="W50" s="12"/>
      <c r="X50" s="12"/>
      <c r="Y50" s="12"/>
      <c r="Z50" s="12"/>
      <c r="AA50" s="27"/>
      <c r="AB50" s="27"/>
      <c r="AC50" s="27"/>
      <c r="AD50" s="27"/>
      <c r="AE50" s="28"/>
      <c r="AF50" s="28"/>
      <c r="AG50" s="28"/>
      <c r="AH50" s="28"/>
      <c r="AI50" s="29"/>
      <c r="AJ50" s="29"/>
      <c r="AK50" s="28"/>
      <c r="AL50" s="12"/>
      <c r="AM50" s="12"/>
      <c r="AN50" s="11"/>
      <c r="AO50" s="11"/>
      <c r="AP50" s="20"/>
      <c r="AQ50" s="20"/>
      <c r="AR50" s="20"/>
      <c r="AS50" s="20"/>
      <c r="AT50" s="20"/>
      <c r="AU50" s="20"/>
      <c r="AV50" s="20"/>
      <c r="AW50" s="11"/>
      <c r="AX50" s="11"/>
      <c r="AY50" s="11"/>
      <c r="AZ50" s="11"/>
      <c r="BA50" s="21"/>
      <c r="BB50" s="21"/>
      <c r="BC50" s="21"/>
      <c r="BD50" s="24"/>
      <c r="BE50" s="24"/>
      <c r="BF50" s="24"/>
      <c r="BG50" s="24"/>
      <c r="BH50" s="24"/>
      <c r="BI50" s="24"/>
      <c r="BJ50" s="24"/>
      <c r="BK50" s="24"/>
      <c r="BL50" s="24"/>
      <c r="BM50" s="24"/>
      <c r="BN50" s="24"/>
      <c r="BO50" s="24"/>
      <c r="BP50" s="24"/>
      <c r="BQ50" s="24"/>
    </row>
    <row r="51" customFormat="false" ht="15" hidden="false" customHeight="true" outlineLevel="0" collapsed="false">
      <c r="A51" s="11"/>
      <c r="B51" s="11"/>
      <c r="C51" s="11"/>
      <c r="D51" s="12"/>
      <c r="E51" s="11"/>
      <c r="F51" s="11"/>
      <c r="G51" s="11"/>
      <c r="H51" s="11"/>
      <c r="I51" s="11"/>
      <c r="J51" s="11"/>
      <c r="K51" s="11"/>
      <c r="L51" s="11"/>
      <c r="M51" s="11"/>
      <c r="N51" s="11"/>
      <c r="O51" s="11"/>
      <c r="P51" s="11"/>
      <c r="Q51" s="11"/>
      <c r="R51" s="14"/>
      <c r="S51" s="14"/>
      <c r="T51" s="14"/>
      <c r="U51" s="14"/>
      <c r="V51" s="12"/>
      <c r="W51" s="12"/>
      <c r="X51" s="12"/>
      <c r="Y51" s="12"/>
      <c r="Z51" s="12"/>
      <c r="AA51" s="27"/>
      <c r="AB51" s="27"/>
      <c r="AC51" s="27"/>
      <c r="AD51" s="27"/>
      <c r="AE51" s="28"/>
      <c r="AF51" s="28"/>
      <c r="AG51" s="28"/>
      <c r="AH51" s="28"/>
      <c r="AI51" s="29"/>
      <c r="AJ51" s="29"/>
      <c r="AK51" s="28"/>
      <c r="AL51" s="12"/>
      <c r="AM51" s="12"/>
      <c r="AN51" s="11"/>
      <c r="AO51" s="11"/>
      <c r="AP51" s="20"/>
      <c r="AQ51" s="20"/>
      <c r="AR51" s="20"/>
      <c r="AS51" s="20"/>
      <c r="AT51" s="20"/>
      <c r="AU51" s="20"/>
      <c r="AV51" s="20"/>
      <c r="AW51" s="11"/>
      <c r="AX51" s="11"/>
      <c r="AY51" s="11"/>
      <c r="AZ51" s="11"/>
      <c r="BA51" s="21"/>
      <c r="BB51" s="21"/>
      <c r="BC51" s="21"/>
      <c r="BD51" s="24"/>
      <c r="BE51" s="24"/>
      <c r="BF51" s="24"/>
      <c r="BG51" s="24"/>
      <c r="BH51" s="24"/>
      <c r="BI51" s="24"/>
      <c r="BJ51" s="24"/>
      <c r="BK51" s="24"/>
      <c r="BL51" s="24"/>
      <c r="BM51" s="24"/>
      <c r="BN51" s="24"/>
      <c r="BO51" s="24"/>
      <c r="BP51" s="24"/>
      <c r="BQ51" s="24"/>
    </row>
    <row r="52" customFormat="false" ht="15" hidden="false" customHeight="true" outlineLevel="0" collapsed="false">
      <c r="A52" s="11"/>
      <c r="B52" s="11"/>
      <c r="C52" s="11"/>
      <c r="D52" s="12"/>
      <c r="E52" s="11"/>
      <c r="F52" s="11"/>
      <c r="G52" s="11"/>
      <c r="H52" s="11"/>
      <c r="I52" s="11"/>
      <c r="J52" s="11"/>
      <c r="K52" s="11"/>
      <c r="L52" s="11"/>
      <c r="M52" s="11"/>
      <c r="N52" s="11"/>
      <c r="O52" s="11"/>
      <c r="P52" s="11"/>
      <c r="Q52" s="11"/>
      <c r="R52" s="14"/>
      <c r="S52" s="14"/>
      <c r="T52" s="14"/>
      <c r="U52" s="14"/>
      <c r="V52" s="12"/>
      <c r="W52" s="12"/>
      <c r="X52" s="12"/>
      <c r="Y52" s="12"/>
      <c r="Z52" s="12"/>
      <c r="AA52" s="27"/>
      <c r="AB52" s="27"/>
      <c r="AC52" s="27"/>
      <c r="AD52" s="27"/>
      <c r="AE52" s="28"/>
      <c r="AF52" s="28"/>
      <c r="AG52" s="28"/>
      <c r="AH52" s="28"/>
      <c r="AI52" s="29"/>
      <c r="AJ52" s="29"/>
      <c r="AK52" s="28"/>
      <c r="AL52" s="12"/>
      <c r="AM52" s="12"/>
      <c r="AN52" s="11"/>
      <c r="AO52" s="11"/>
      <c r="AP52" s="20"/>
      <c r="AQ52" s="20"/>
      <c r="AR52" s="20"/>
      <c r="AS52" s="20"/>
      <c r="AT52" s="20"/>
      <c r="AU52" s="20"/>
      <c r="AV52" s="20"/>
      <c r="AW52" s="11"/>
      <c r="AX52" s="11"/>
      <c r="AY52" s="11"/>
      <c r="AZ52" s="11"/>
      <c r="BA52" s="21"/>
      <c r="BB52" s="21"/>
      <c r="BC52" s="21"/>
      <c r="BD52" s="24"/>
      <c r="BE52" s="24"/>
      <c r="BF52" s="24"/>
      <c r="BG52" s="24"/>
      <c r="BH52" s="24"/>
      <c r="BI52" s="24"/>
      <c r="BJ52" s="24"/>
      <c r="BK52" s="24"/>
      <c r="BL52" s="24"/>
      <c r="BM52" s="24"/>
      <c r="BN52" s="24"/>
      <c r="BO52" s="24"/>
      <c r="BP52" s="24"/>
      <c r="BQ52" s="24"/>
    </row>
    <row r="53" customFormat="false" ht="15" hidden="false" customHeight="true" outlineLevel="0" collapsed="false">
      <c r="A53" s="11"/>
      <c r="B53" s="11"/>
      <c r="C53" s="11"/>
      <c r="D53" s="12"/>
      <c r="E53" s="11"/>
      <c r="F53" s="11"/>
      <c r="G53" s="11"/>
      <c r="H53" s="11"/>
      <c r="I53" s="11"/>
      <c r="J53" s="11"/>
      <c r="K53" s="11"/>
      <c r="L53" s="11"/>
      <c r="M53" s="11"/>
      <c r="N53" s="11"/>
      <c r="O53" s="11"/>
      <c r="P53" s="11"/>
      <c r="Q53" s="11"/>
      <c r="R53" s="14"/>
      <c r="S53" s="14"/>
      <c r="T53" s="14"/>
      <c r="U53" s="14"/>
      <c r="V53" s="12"/>
      <c r="W53" s="12"/>
      <c r="X53" s="12"/>
      <c r="Y53" s="12"/>
      <c r="Z53" s="12"/>
      <c r="AA53" s="27"/>
      <c r="AB53" s="27"/>
      <c r="AC53" s="27"/>
      <c r="AD53" s="27"/>
      <c r="AE53" s="28"/>
      <c r="AF53" s="28"/>
      <c r="AG53" s="28"/>
      <c r="AH53" s="28"/>
      <c r="AI53" s="29"/>
      <c r="AJ53" s="29"/>
      <c r="AK53" s="28"/>
      <c r="AL53" s="12"/>
      <c r="AM53" s="12"/>
      <c r="AN53" s="11"/>
      <c r="AO53" s="11"/>
      <c r="AP53" s="20"/>
      <c r="AQ53" s="20"/>
      <c r="AR53" s="20"/>
      <c r="AS53" s="20"/>
      <c r="AT53" s="20"/>
      <c r="AU53" s="20"/>
      <c r="AV53" s="20"/>
      <c r="AW53" s="11"/>
      <c r="AX53" s="11"/>
      <c r="AY53" s="11"/>
      <c r="AZ53" s="11"/>
      <c r="BA53" s="21"/>
      <c r="BB53" s="21"/>
      <c r="BC53" s="21"/>
      <c r="BD53" s="24"/>
      <c r="BE53" s="24"/>
      <c r="BF53" s="24"/>
      <c r="BG53" s="24"/>
      <c r="BH53" s="24"/>
      <c r="BI53" s="24"/>
      <c r="BJ53" s="24"/>
      <c r="BK53" s="24"/>
      <c r="BL53" s="24"/>
      <c r="BM53" s="24"/>
      <c r="BN53" s="24"/>
      <c r="BO53" s="24"/>
      <c r="BP53" s="24"/>
      <c r="BQ53" s="24"/>
    </row>
    <row r="54" customFormat="false" ht="15" hidden="false" customHeight="true" outlineLevel="0" collapsed="false">
      <c r="A54" s="11"/>
      <c r="B54" s="11"/>
      <c r="C54" s="11"/>
      <c r="D54" s="12"/>
      <c r="E54" s="11"/>
      <c r="F54" s="11"/>
      <c r="G54" s="11"/>
      <c r="H54" s="11"/>
      <c r="I54" s="11"/>
      <c r="J54" s="11"/>
      <c r="K54" s="11"/>
      <c r="L54" s="11"/>
      <c r="M54" s="11"/>
      <c r="N54" s="11"/>
      <c r="O54" s="11"/>
      <c r="P54" s="11"/>
      <c r="Q54" s="11"/>
      <c r="R54" s="14"/>
      <c r="S54" s="14"/>
      <c r="T54" s="14"/>
      <c r="U54" s="14"/>
      <c r="V54" s="12"/>
      <c r="W54" s="12"/>
      <c r="X54" s="12"/>
      <c r="Y54" s="12"/>
      <c r="Z54" s="12"/>
      <c r="AA54" s="27"/>
      <c r="AB54" s="27"/>
      <c r="AC54" s="27"/>
      <c r="AD54" s="27"/>
      <c r="AE54" s="28"/>
      <c r="AF54" s="28"/>
      <c r="AG54" s="28"/>
      <c r="AH54" s="28"/>
      <c r="AI54" s="29"/>
      <c r="AJ54" s="29"/>
      <c r="AK54" s="28"/>
      <c r="AL54" s="12"/>
      <c r="AM54" s="12"/>
      <c r="AN54" s="11"/>
      <c r="AO54" s="11"/>
      <c r="AP54" s="20"/>
      <c r="AQ54" s="20"/>
      <c r="AR54" s="20"/>
      <c r="AS54" s="20"/>
      <c r="AT54" s="20"/>
      <c r="AU54" s="20"/>
      <c r="AV54" s="20"/>
      <c r="AW54" s="11"/>
      <c r="AX54" s="11"/>
      <c r="AY54" s="11"/>
      <c r="AZ54" s="11"/>
      <c r="BA54" s="21"/>
      <c r="BB54" s="21"/>
      <c r="BC54" s="21"/>
      <c r="BD54" s="24"/>
      <c r="BE54" s="24"/>
      <c r="BF54" s="24"/>
      <c r="BG54" s="24"/>
      <c r="BH54" s="24"/>
      <c r="BI54" s="24"/>
      <c r="BJ54" s="24"/>
      <c r="BK54" s="24"/>
      <c r="BL54" s="24"/>
      <c r="BM54" s="24"/>
      <c r="BN54" s="24"/>
      <c r="BO54" s="24"/>
      <c r="BP54" s="24"/>
      <c r="BQ54" s="24"/>
    </row>
    <row r="55" customFormat="false" ht="15" hidden="false" customHeight="true" outlineLevel="0" collapsed="false">
      <c r="A55" s="11"/>
      <c r="B55" s="11"/>
      <c r="C55" s="11"/>
      <c r="D55" s="12"/>
      <c r="E55" s="11"/>
      <c r="F55" s="11"/>
      <c r="G55" s="11"/>
      <c r="H55" s="11"/>
      <c r="I55" s="11"/>
      <c r="J55" s="11"/>
      <c r="K55" s="11"/>
      <c r="L55" s="11"/>
      <c r="M55" s="11"/>
      <c r="N55" s="11"/>
      <c r="O55" s="11"/>
      <c r="P55" s="11"/>
      <c r="Q55" s="11"/>
      <c r="R55" s="14"/>
      <c r="S55" s="14"/>
      <c r="T55" s="14"/>
      <c r="U55" s="14"/>
      <c r="V55" s="12"/>
      <c r="W55" s="12"/>
      <c r="X55" s="12"/>
      <c r="Y55" s="12"/>
      <c r="Z55" s="12"/>
      <c r="AA55" s="27"/>
      <c r="AB55" s="27"/>
      <c r="AC55" s="27"/>
      <c r="AD55" s="27"/>
      <c r="AE55" s="28"/>
      <c r="AF55" s="28"/>
      <c r="AG55" s="28"/>
      <c r="AH55" s="28"/>
      <c r="AI55" s="29"/>
      <c r="AJ55" s="29"/>
      <c r="AK55" s="28"/>
      <c r="AL55" s="12"/>
      <c r="AM55" s="12"/>
      <c r="AN55" s="11"/>
      <c r="AO55" s="11"/>
      <c r="AP55" s="20"/>
      <c r="AQ55" s="20"/>
      <c r="AR55" s="20"/>
      <c r="AS55" s="20"/>
      <c r="AT55" s="20"/>
      <c r="AU55" s="20"/>
      <c r="AV55" s="20"/>
      <c r="AW55" s="11"/>
      <c r="AX55" s="11"/>
      <c r="AY55" s="11"/>
      <c r="AZ55" s="11"/>
      <c r="BA55" s="21"/>
      <c r="BB55" s="21"/>
      <c r="BC55" s="21"/>
      <c r="BD55" s="24"/>
      <c r="BE55" s="24"/>
      <c r="BF55" s="24"/>
      <c r="BG55" s="24"/>
      <c r="BH55" s="24"/>
      <c r="BI55" s="24"/>
      <c r="BJ55" s="24"/>
      <c r="BK55" s="24"/>
      <c r="BL55" s="24"/>
      <c r="BM55" s="24"/>
      <c r="BN55" s="24"/>
      <c r="BO55" s="24"/>
      <c r="BP55" s="24"/>
      <c r="BQ55" s="24"/>
    </row>
    <row r="56" customFormat="false" ht="15" hidden="false" customHeight="true" outlineLevel="0" collapsed="false">
      <c r="A56" s="11"/>
      <c r="B56" s="11"/>
      <c r="C56" s="11"/>
      <c r="D56" s="12"/>
      <c r="E56" s="11"/>
      <c r="F56" s="11"/>
      <c r="G56" s="11"/>
      <c r="H56" s="11"/>
      <c r="I56" s="11"/>
      <c r="J56" s="11"/>
      <c r="K56" s="11"/>
      <c r="L56" s="11"/>
      <c r="M56" s="11"/>
      <c r="N56" s="11"/>
      <c r="O56" s="11"/>
      <c r="P56" s="11"/>
      <c r="Q56" s="11"/>
      <c r="R56" s="14"/>
      <c r="S56" s="14"/>
      <c r="T56" s="14"/>
      <c r="U56" s="14"/>
      <c r="V56" s="12"/>
      <c r="W56" s="12"/>
      <c r="X56" s="12"/>
      <c r="Y56" s="12"/>
      <c r="Z56" s="12"/>
      <c r="AA56" s="27"/>
      <c r="AB56" s="27"/>
      <c r="AC56" s="27"/>
      <c r="AD56" s="27"/>
      <c r="AE56" s="28"/>
      <c r="AF56" s="28"/>
      <c r="AG56" s="28"/>
      <c r="AH56" s="28"/>
      <c r="AI56" s="29"/>
      <c r="AJ56" s="29"/>
      <c r="AK56" s="28"/>
      <c r="AL56" s="12"/>
      <c r="AM56" s="12"/>
      <c r="AN56" s="11"/>
      <c r="AO56" s="11"/>
      <c r="AP56" s="20"/>
      <c r="AQ56" s="20"/>
      <c r="AR56" s="20"/>
      <c r="AS56" s="20"/>
      <c r="AT56" s="20"/>
      <c r="AU56" s="20"/>
      <c r="AV56" s="20"/>
      <c r="AW56" s="11"/>
      <c r="AX56" s="11"/>
      <c r="AY56" s="11"/>
      <c r="AZ56" s="11"/>
      <c r="BA56" s="21"/>
      <c r="BB56" s="21"/>
      <c r="BC56" s="21"/>
      <c r="BD56" s="24"/>
      <c r="BE56" s="24"/>
      <c r="BF56" s="24"/>
      <c r="BG56" s="24"/>
      <c r="BH56" s="24"/>
      <c r="BI56" s="24"/>
      <c r="BJ56" s="24"/>
      <c r="BK56" s="24"/>
      <c r="BL56" s="24"/>
      <c r="BM56" s="24"/>
      <c r="BN56" s="24"/>
      <c r="BO56" s="24"/>
      <c r="BP56" s="24"/>
      <c r="BQ56" s="24"/>
    </row>
    <row r="57" customFormat="false" ht="15" hidden="false" customHeight="true" outlineLevel="0" collapsed="false">
      <c r="A57" s="11"/>
      <c r="B57" s="11"/>
      <c r="C57" s="11"/>
      <c r="D57" s="12"/>
      <c r="E57" s="11"/>
      <c r="F57" s="11"/>
      <c r="G57" s="11"/>
      <c r="H57" s="11"/>
      <c r="I57" s="11"/>
      <c r="J57" s="11"/>
      <c r="K57" s="11"/>
      <c r="L57" s="11"/>
      <c r="M57" s="11"/>
      <c r="N57" s="11"/>
      <c r="O57" s="11"/>
      <c r="P57" s="11"/>
      <c r="Q57" s="11"/>
      <c r="R57" s="14"/>
      <c r="S57" s="14"/>
      <c r="T57" s="14"/>
      <c r="U57" s="14"/>
      <c r="V57" s="12"/>
      <c r="W57" s="12"/>
      <c r="X57" s="12"/>
      <c r="Y57" s="12"/>
      <c r="Z57" s="12"/>
      <c r="AA57" s="27"/>
      <c r="AB57" s="27"/>
      <c r="AC57" s="27"/>
      <c r="AD57" s="27"/>
      <c r="AE57" s="28"/>
      <c r="AF57" s="28"/>
      <c r="AG57" s="28"/>
      <c r="AH57" s="28"/>
      <c r="AI57" s="29"/>
      <c r="AJ57" s="29"/>
      <c r="AK57" s="28"/>
      <c r="AL57" s="12"/>
      <c r="AM57" s="12"/>
      <c r="AN57" s="11"/>
      <c r="AO57" s="11"/>
      <c r="AP57" s="20"/>
      <c r="AQ57" s="20"/>
      <c r="AR57" s="20"/>
      <c r="AS57" s="20"/>
      <c r="AT57" s="20"/>
      <c r="AU57" s="20"/>
      <c r="AV57" s="20"/>
      <c r="AW57" s="11"/>
      <c r="AX57" s="11"/>
      <c r="AY57" s="11"/>
      <c r="AZ57" s="11"/>
      <c r="BA57" s="21"/>
      <c r="BB57" s="21"/>
      <c r="BC57" s="21"/>
      <c r="BD57" s="24"/>
      <c r="BE57" s="24"/>
      <c r="BF57" s="24"/>
      <c r="BG57" s="24"/>
      <c r="BH57" s="24"/>
      <c r="BI57" s="24"/>
      <c r="BJ57" s="24"/>
      <c r="BK57" s="24"/>
      <c r="BL57" s="24"/>
      <c r="BM57" s="24"/>
      <c r="BN57" s="24"/>
      <c r="BO57" s="24"/>
      <c r="BP57" s="24"/>
      <c r="BQ57" s="24"/>
    </row>
    <row r="58" customFormat="false" ht="15" hidden="false" customHeight="true" outlineLevel="0" collapsed="false">
      <c r="A58" s="11"/>
      <c r="B58" s="11"/>
      <c r="C58" s="11"/>
      <c r="D58" s="12"/>
      <c r="E58" s="11"/>
      <c r="F58" s="11"/>
      <c r="G58" s="11"/>
      <c r="H58" s="11"/>
      <c r="I58" s="11"/>
      <c r="J58" s="11"/>
      <c r="K58" s="11"/>
      <c r="L58" s="11"/>
      <c r="M58" s="11"/>
      <c r="N58" s="11"/>
      <c r="O58" s="11"/>
      <c r="P58" s="11"/>
      <c r="Q58" s="11"/>
      <c r="R58" s="14"/>
      <c r="S58" s="14"/>
      <c r="T58" s="14"/>
      <c r="U58" s="14"/>
      <c r="V58" s="12"/>
      <c r="W58" s="12"/>
      <c r="X58" s="12"/>
      <c r="Y58" s="12"/>
      <c r="Z58" s="12"/>
      <c r="AA58" s="27"/>
      <c r="AB58" s="27"/>
      <c r="AC58" s="27"/>
      <c r="AD58" s="27"/>
      <c r="AE58" s="28"/>
      <c r="AF58" s="28"/>
      <c r="AG58" s="28"/>
      <c r="AH58" s="28"/>
      <c r="AI58" s="29"/>
      <c r="AJ58" s="29"/>
      <c r="AK58" s="28"/>
      <c r="AL58" s="12"/>
      <c r="AM58" s="12"/>
      <c r="AN58" s="11"/>
      <c r="AO58" s="11"/>
      <c r="AP58" s="20"/>
      <c r="AQ58" s="20"/>
      <c r="AR58" s="20"/>
      <c r="AS58" s="20"/>
      <c r="AT58" s="20"/>
      <c r="AU58" s="20"/>
      <c r="AV58" s="20"/>
      <c r="AW58" s="11"/>
      <c r="AX58" s="11"/>
      <c r="AY58" s="11"/>
      <c r="AZ58" s="11"/>
      <c r="BA58" s="21"/>
      <c r="BB58" s="21"/>
      <c r="BC58" s="21"/>
      <c r="BD58" s="24"/>
      <c r="BE58" s="24"/>
      <c r="BF58" s="24"/>
      <c r="BG58" s="24"/>
      <c r="BH58" s="24"/>
      <c r="BI58" s="24"/>
      <c r="BJ58" s="24"/>
      <c r="BK58" s="24"/>
      <c r="BL58" s="24"/>
      <c r="BM58" s="24"/>
      <c r="BN58" s="24"/>
      <c r="BO58" s="24"/>
      <c r="BP58" s="24"/>
      <c r="BQ58" s="24"/>
    </row>
    <row r="59" customFormat="false" ht="15" hidden="false" customHeight="true" outlineLevel="0" collapsed="false">
      <c r="A59" s="11"/>
      <c r="B59" s="11"/>
      <c r="C59" s="11"/>
      <c r="D59" s="12"/>
      <c r="E59" s="11"/>
      <c r="F59" s="11"/>
      <c r="G59" s="11"/>
      <c r="H59" s="11"/>
      <c r="I59" s="11"/>
      <c r="J59" s="11"/>
      <c r="K59" s="11"/>
      <c r="L59" s="11"/>
      <c r="M59" s="11"/>
      <c r="N59" s="11"/>
      <c r="O59" s="11"/>
      <c r="P59" s="11"/>
      <c r="Q59" s="11"/>
      <c r="R59" s="14"/>
      <c r="S59" s="14"/>
      <c r="T59" s="14"/>
      <c r="U59" s="14"/>
      <c r="V59" s="12"/>
      <c r="W59" s="12"/>
      <c r="X59" s="12"/>
      <c r="Y59" s="12"/>
      <c r="Z59" s="12"/>
      <c r="AA59" s="27"/>
      <c r="AB59" s="27"/>
      <c r="AC59" s="27"/>
      <c r="AD59" s="27"/>
      <c r="AE59" s="28"/>
      <c r="AF59" s="28"/>
      <c r="AG59" s="28"/>
      <c r="AH59" s="28"/>
      <c r="AI59" s="29"/>
      <c r="AJ59" s="29"/>
      <c r="AK59" s="28"/>
      <c r="AL59" s="12"/>
      <c r="AM59" s="12"/>
      <c r="AN59" s="11"/>
      <c r="AO59" s="11"/>
      <c r="AP59" s="20"/>
      <c r="AQ59" s="20"/>
      <c r="AR59" s="20"/>
      <c r="AS59" s="20"/>
      <c r="AT59" s="20"/>
      <c r="AU59" s="20"/>
      <c r="AV59" s="20"/>
      <c r="AW59" s="11"/>
      <c r="AX59" s="11"/>
      <c r="AY59" s="11"/>
      <c r="AZ59" s="11"/>
      <c r="BA59" s="21"/>
      <c r="BB59" s="21"/>
      <c r="BC59" s="21"/>
      <c r="BD59" s="24"/>
      <c r="BE59" s="24"/>
      <c r="BF59" s="24"/>
      <c r="BG59" s="24"/>
      <c r="BH59" s="24"/>
      <c r="BI59" s="24"/>
      <c r="BJ59" s="24"/>
      <c r="BK59" s="24"/>
      <c r="BL59" s="24"/>
      <c r="BM59" s="24"/>
      <c r="BN59" s="24"/>
      <c r="BO59" s="24"/>
      <c r="BP59" s="24"/>
      <c r="BQ59" s="24"/>
    </row>
    <row r="60" customFormat="false" ht="15" hidden="false" customHeight="true" outlineLevel="0" collapsed="false">
      <c r="A60" s="11"/>
      <c r="B60" s="11"/>
      <c r="C60" s="11"/>
      <c r="D60" s="12"/>
      <c r="E60" s="11"/>
      <c r="F60" s="11"/>
      <c r="G60" s="11"/>
      <c r="H60" s="11"/>
      <c r="I60" s="11"/>
      <c r="J60" s="11"/>
      <c r="K60" s="11"/>
      <c r="L60" s="11"/>
      <c r="M60" s="11"/>
      <c r="N60" s="11"/>
      <c r="O60" s="11"/>
      <c r="P60" s="11"/>
      <c r="Q60" s="11"/>
      <c r="R60" s="14"/>
      <c r="S60" s="14"/>
      <c r="T60" s="14"/>
      <c r="U60" s="14"/>
      <c r="V60" s="12"/>
      <c r="W60" s="12"/>
      <c r="X60" s="12"/>
      <c r="Y60" s="12"/>
      <c r="Z60" s="12"/>
      <c r="AA60" s="27"/>
      <c r="AB60" s="27"/>
      <c r="AC60" s="27"/>
      <c r="AD60" s="27"/>
      <c r="AE60" s="28"/>
      <c r="AF60" s="28"/>
      <c r="AG60" s="28"/>
      <c r="AH60" s="28"/>
      <c r="AI60" s="29"/>
      <c r="AJ60" s="29"/>
      <c r="AK60" s="28"/>
      <c r="AL60" s="12"/>
      <c r="AM60" s="12"/>
      <c r="AN60" s="11"/>
      <c r="AO60" s="11"/>
      <c r="AP60" s="20"/>
      <c r="AQ60" s="20"/>
      <c r="AR60" s="20"/>
      <c r="AS60" s="20"/>
      <c r="AT60" s="20"/>
      <c r="AU60" s="20"/>
      <c r="AV60" s="20"/>
      <c r="AW60" s="11"/>
      <c r="AX60" s="11"/>
      <c r="AY60" s="11"/>
      <c r="AZ60" s="11"/>
      <c r="BA60" s="21"/>
      <c r="BB60" s="21"/>
      <c r="BC60" s="21"/>
      <c r="BD60" s="24"/>
      <c r="BE60" s="24"/>
      <c r="BF60" s="24"/>
      <c r="BG60" s="24"/>
      <c r="BH60" s="24"/>
      <c r="BI60" s="24"/>
      <c r="BJ60" s="24"/>
      <c r="BK60" s="24"/>
      <c r="BL60" s="24"/>
      <c r="BM60" s="24"/>
      <c r="BN60" s="24"/>
      <c r="BO60" s="24"/>
      <c r="BP60" s="24"/>
      <c r="BQ60" s="24"/>
    </row>
    <row r="61" customFormat="false" ht="15" hidden="false" customHeight="true" outlineLevel="0" collapsed="false">
      <c r="A61" s="11"/>
      <c r="B61" s="11"/>
      <c r="C61" s="11"/>
      <c r="D61" s="12"/>
      <c r="E61" s="11"/>
      <c r="F61" s="11"/>
      <c r="G61" s="11"/>
      <c r="H61" s="11"/>
      <c r="I61" s="11"/>
      <c r="J61" s="11"/>
      <c r="K61" s="11"/>
      <c r="L61" s="11"/>
      <c r="M61" s="11"/>
      <c r="N61" s="11"/>
      <c r="O61" s="11"/>
      <c r="P61" s="11"/>
      <c r="Q61" s="11"/>
      <c r="R61" s="14"/>
      <c r="S61" s="14"/>
      <c r="T61" s="14"/>
      <c r="U61" s="14"/>
      <c r="V61" s="12"/>
      <c r="W61" s="12"/>
      <c r="X61" s="12"/>
      <c r="Y61" s="12"/>
      <c r="Z61" s="12"/>
      <c r="AA61" s="27"/>
      <c r="AB61" s="27"/>
      <c r="AC61" s="27"/>
      <c r="AD61" s="27"/>
      <c r="AE61" s="28"/>
      <c r="AF61" s="28"/>
      <c r="AG61" s="28"/>
      <c r="AH61" s="28"/>
      <c r="AI61" s="29"/>
      <c r="AJ61" s="29"/>
      <c r="AK61" s="28"/>
      <c r="AL61" s="12"/>
      <c r="AM61" s="12"/>
      <c r="AN61" s="11"/>
      <c r="AO61" s="11"/>
      <c r="AP61" s="20"/>
      <c r="AQ61" s="20"/>
      <c r="AR61" s="20"/>
      <c r="AS61" s="20"/>
      <c r="AT61" s="20"/>
      <c r="AU61" s="20"/>
      <c r="AV61" s="20"/>
      <c r="AW61" s="11"/>
      <c r="AX61" s="11"/>
      <c r="AY61" s="11"/>
      <c r="AZ61" s="11"/>
      <c r="BA61" s="21"/>
      <c r="BB61" s="21"/>
      <c r="BC61" s="21"/>
      <c r="BD61" s="24"/>
      <c r="BE61" s="24"/>
      <c r="BF61" s="24"/>
      <c r="BG61" s="24"/>
      <c r="BH61" s="24"/>
      <c r="BI61" s="24"/>
      <c r="BJ61" s="24"/>
      <c r="BK61" s="24"/>
      <c r="BL61" s="24"/>
      <c r="BM61" s="24"/>
      <c r="BN61" s="24"/>
      <c r="BO61" s="24"/>
      <c r="BP61" s="24"/>
      <c r="BQ61" s="24"/>
    </row>
    <row r="62" customFormat="false" ht="15" hidden="false" customHeight="true" outlineLevel="0" collapsed="false">
      <c r="A62" s="11"/>
      <c r="B62" s="11"/>
      <c r="C62" s="11"/>
      <c r="D62" s="12"/>
      <c r="E62" s="11"/>
      <c r="F62" s="11"/>
      <c r="G62" s="11"/>
      <c r="H62" s="11"/>
      <c r="I62" s="11"/>
      <c r="J62" s="11"/>
      <c r="K62" s="11"/>
      <c r="L62" s="11"/>
      <c r="M62" s="11"/>
      <c r="N62" s="11"/>
      <c r="O62" s="11"/>
      <c r="P62" s="11"/>
      <c r="Q62" s="11"/>
      <c r="R62" s="14"/>
      <c r="S62" s="14"/>
      <c r="T62" s="14"/>
      <c r="U62" s="14"/>
      <c r="V62" s="12"/>
      <c r="W62" s="12"/>
      <c r="X62" s="12"/>
      <c r="Y62" s="12"/>
      <c r="Z62" s="12"/>
      <c r="AA62" s="27"/>
      <c r="AB62" s="27"/>
      <c r="AC62" s="27"/>
      <c r="AD62" s="27"/>
      <c r="AE62" s="28"/>
      <c r="AF62" s="28"/>
      <c r="AG62" s="28"/>
      <c r="AH62" s="28"/>
      <c r="AI62" s="29"/>
      <c r="AJ62" s="29"/>
      <c r="AK62" s="28"/>
      <c r="AL62" s="12"/>
      <c r="AM62" s="12"/>
      <c r="AN62" s="11"/>
      <c r="AO62" s="11"/>
      <c r="AP62" s="20"/>
      <c r="AQ62" s="20"/>
      <c r="AR62" s="20"/>
      <c r="AS62" s="20"/>
      <c r="AT62" s="20"/>
      <c r="AU62" s="20"/>
      <c r="AV62" s="20"/>
      <c r="AW62" s="11"/>
      <c r="AX62" s="11"/>
      <c r="AY62" s="11"/>
      <c r="AZ62" s="11"/>
      <c r="BA62" s="21"/>
      <c r="BB62" s="21"/>
      <c r="BC62" s="21"/>
      <c r="BD62" s="24"/>
      <c r="BE62" s="24"/>
      <c r="BF62" s="24"/>
      <c r="BG62" s="24"/>
      <c r="BH62" s="24"/>
      <c r="BI62" s="24"/>
      <c r="BJ62" s="24"/>
      <c r="BK62" s="24"/>
      <c r="BL62" s="24"/>
      <c r="BM62" s="24"/>
      <c r="BN62" s="24"/>
      <c r="BO62" s="24"/>
      <c r="BP62" s="24"/>
      <c r="BQ62" s="24"/>
    </row>
    <row r="63" customFormat="false" ht="15" hidden="false" customHeight="true" outlineLevel="0" collapsed="false">
      <c r="A63" s="11"/>
      <c r="B63" s="11"/>
      <c r="C63" s="11"/>
      <c r="D63" s="12"/>
      <c r="E63" s="11"/>
      <c r="F63" s="11"/>
      <c r="G63" s="11"/>
      <c r="H63" s="11"/>
      <c r="I63" s="11"/>
      <c r="J63" s="11"/>
      <c r="K63" s="11"/>
      <c r="L63" s="11"/>
      <c r="M63" s="11"/>
      <c r="N63" s="11"/>
      <c r="O63" s="11"/>
      <c r="P63" s="11"/>
      <c r="Q63" s="11"/>
      <c r="R63" s="14"/>
      <c r="S63" s="14"/>
      <c r="T63" s="14"/>
      <c r="U63" s="14"/>
      <c r="V63" s="12"/>
      <c r="W63" s="12"/>
      <c r="X63" s="12"/>
      <c r="Y63" s="12"/>
      <c r="Z63" s="12"/>
      <c r="AA63" s="27"/>
      <c r="AB63" s="27"/>
      <c r="AC63" s="27"/>
      <c r="AD63" s="27"/>
      <c r="AE63" s="28"/>
      <c r="AF63" s="28"/>
      <c r="AG63" s="28"/>
      <c r="AH63" s="28"/>
      <c r="AI63" s="29"/>
      <c r="AJ63" s="29"/>
      <c r="AK63" s="28"/>
      <c r="AL63" s="12"/>
      <c r="AM63" s="12"/>
      <c r="AN63" s="11"/>
      <c r="AO63" s="11"/>
      <c r="AP63" s="20"/>
      <c r="AQ63" s="20"/>
      <c r="AR63" s="20"/>
      <c r="AS63" s="20"/>
      <c r="AT63" s="20"/>
      <c r="AU63" s="20"/>
      <c r="AV63" s="20"/>
      <c r="AW63" s="11"/>
      <c r="AX63" s="11"/>
      <c r="AY63" s="11"/>
      <c r="AZ63" s="11"/>
      <c r="BA63" s="21"/>
      <c r="BB63" s="21"/>
      <c r="BC63" s="21"/>
      <c r="BD63" s="24"/>
      <c r="BE63" s="24"/>
      <c r="BF63" s="24"/>
      <c r="BG63" s="24"/>
      <c r="BH63" s="24"/>
      <c r="BI63" s="24"/>
      <c r="BJ63" s="24"/>
      <c r="BK63" s="24"/>
      <c r="BL63" s="24"/>
      <c r="BM63" s="24"/>
      <c r="BN63" s="24"/>
      <c r="BO63" s="24"/>
      <c r="BP63" s="24"/>
      <c r="BQ63" s="24"/>
    </row>
    <row r="64" customFormat="false" ht="15" hidden="false" customHeight="true" outlineLevel="0" collapsed="false">
      <c r="A64" s="11"/>
      <c r="B64" s="11"/>
      <c r="C64" s="11"/>
      <c r="D64" s="12"/>
      <c r="E64" s="11"/>
      <c r="F64" s="11"/>
      <c r="G64" s="11"/>
      <c r="H64" s="11"/>
      <c r="I64" s="11"/>
      <c r="J64" s="11"/>
      <c r="K64" s="11"/>
      <c r="L64" s="11"/>
      <c r="M64" s="11"/>
      <c r="N64" s="11"/>
      <c r="O64" s="11"/>
      <c r="P64" s="11"/>
      <c r="Q64" s="11"/>
      <c r="R64" s="14"/>
      <c r="S64" s="14"/>
      <c r="T64" s="14"/>
      <c r="U64" s="14"/>
      <c r="V64" s="12"/>
      <c r="W64" s="12"/>
      <c r="X64" s="12"/>
      <c r="Y64" s="12"/>
      <c r="Z64" s="12"/>
      <c r="AA64" s="27"/>
      <c r="AB64" s="27"/>
      <c r="AC64" s="27"/>
      <c r="AD64" s="27"/>
      <c r="AE64" s="28"/>
      <c r="AF64" s="28"/>
      <c r="AG64" s="28"/>
      <c r="AH64" s="28"/>
      <c r="AI64" s="29"/>
      <c r="AJ64" s="29"/>
      <c r="AK64" s="28"/>
      <c r="AL64" s="12"/>
      <c r="AM64" s="12"/>
      <c r="AN64" s="11"/>
      <c r="AO64" s="11"/>
      <c r="AP64" s="20"/>
      <c r="AQ64" s="20"/>
      <c r="AR64" s="20"/>
      <c r="AS64" s="20"/>
      <c r="AT64" s="20"/>
      <c r="AU64" s="20"/>
      <c r="AV64" s="20"/>
      <c r="AW64" s="11"/>
      <c r="AX64" s="11"/>
      <c r="AY64" s="11"/>
      <c r="AZ64" s="11"/>
      <c r="BA64" s="21"/>
      <c r="BB64" s="21"/>
      <c r="BC64" s="21"/>
      <c r="BD64" s="24"/>
      <c r="BE64" s="24"/>
      <c r="BF64" s="24"/>
      <c r="BG64" s="24"/>
      <c r="BH64" s="24"/>
      <c r="BI64" s="24"/>
      <c r="BJ64" s="24"/>
      <c r="BK64" s="24"/>
      <c r="BL64" s="24"/>
      <c r="BM64" s="24"/>
      <c r="BN64" s="24"/>
      <c r="BO64" s="24"/>
      <c r="BP64" s="24"/>
      <c r="BQ64" s="24"/>
    </row>
    <row r="65" customFormat="false" ht="15" hidden="false" customHeight="true" outlineLevel="0" collapsed="false">
      <c r="A65" s="11"/>
      <c r="B65" s="11"/>
      <c r="C65" s="11"/>
      <c r="D65" s="12"/>
      <c r="E65" s="11"/>
      <c r="F65" s="11"/>
      <c r="G65" s="11"/>
      <c r="H65" s="11"/>
      <c r="I65" s="11"/>
      <c r="J65" s="11"/>
      <c r="K65" s="11"/>
      <c r="L65" s="11"/>
      <c r="M65" s="11"/>
      <c r="N65" s="11"/>
      <c r="O65" s="11"/>
      <c r="P65" s="11"/>
      <c r="Q65" s="11"/>
      <c r="R65" s="14"/>
      <c r="S65" s="14"/>
      <c r="T65" s="14"/>
      <c r="U65" s="14"/>
      <c r="V65" s="12"/>
      <c r="W65" s="12"/>
      <c r="X65" s="12"/>
      <c r="Y65" s="12"/>
      <c r="Z65" s="12"/>
      <c r="AA65" s="27"/>
      <c r="AB65" s="27"/>
      <c r="AC65" s="27"/>
      <c r="AD65" s="27"/>
      <c r="AE65" s="28"/>
      <c r="AF65" s="28"/>
      <c r="AG65" s="28"/>
      <c r="AH65" s="28"/>
      <c r="AI65" s="29"/>
      <c r="AJ65" s="29"/>
      <c r="AK65" s="28"/>
      <c r="AL65" s="12"/>
      <c r="AM65" s="12"/>
      <c r="AN65" s="11"/>
      <c r="AO65" s="11"/>
      <c r="AP65" s="20"/>
      <c r="AQ65" s="20"/>
      <c r="AR65" s="20"/>
      <c r="AS65" s="20"/>
      <c r="AT65" s="20"/>
      <c r="AU65" s="20"/>
      <c r="AV65" s="20"/>
      <c r="AW65" s="11"/>
      <c r="AX65" s="11"/>
      <c r="AY65" s="11"/>
      <c r="AZ65" s="11"/>
      <c r="BA65" s="21"/>
      <c r="BB65" s="21"/>
      <c r="BC65" s="21"/>
      <c r="BD65" s="24"/>
      <c r="BE65" s="24"/>
      <c r="BF65" s="24"/>
      <c r="BG65" s="24"/>
      <c r="BH65" s="24"/>
      <c r="BI65" s="24"/>
      <c r="BJ65" s="24"/>
      <c r="BK65" s="24"/>
      <c r="BL65" s="24"/>
      <c r="BM65" s="24"/>
      <c r="BN65" s="24"/>
      <c r="BO65" s="24"/>
      <c r="BP65" s="24"/>
      <c r="BQ65" s="24"/>
    </row>
    <row r="66" customFormat="false" ht="15" hidden="false" customHeight="true" outlineLevel="0" collapsed="false">
      <c r="A66" s="11"/>
      <c r="B66" s="11"/>
      <c r="C66" s="11"/>
      <c r="D66" s="12"/>
      <c r="E66" s="11"/>
      <c r="F66" s="11"/>
      <c r="G66" s="11"/>
      <c r="H66" s="11"/>
      <c r="I66" s="11"/>
      <c r="J66" s="11"/>
      <c r="K66" s="11"/>
      <c r="L66" s="11"/>
      <c r="M66" s="11"/>
      <c r="N66" s="11"/>
      <c r="O66" s="11"/>
      <c r="P66" s="11"/>
      <c r="Q66" s="11"/>
      <c r="R66" s="14"/>
      <c r="S66" s="14"/>
      <c r="T66" s="14"/>
      <c r="U66" s="14"/>
      <c r="V66" s="12"/>
      <c r="W66" s="12"/>
      <c r="X66" s="12"/>
      <c r="Y66" s="12"/>
      <c r="Z66" s="12"/>
      <c r="AA66" s="27"/>
      <c r="AB66" s="27"/>
      <c r="AC66" s="27"/>
      <c r="AD66" s="27"/>
      <c r="AE66" s="28"/>
      <c r="AF66" s="28"/>
      <c r="AG66" s="28"/>
      <c r="AH66" s="28"/>
      <c r="AI66" s="29"/>
      <c r="AJ66" s="29"/>
      <c r="AK66" s="28"/>
      <c r="AL66" s="12"/>
      <c r="AM66" s="12"/>
      <c r="AN66" s="11"/>
      <c r="AO66" s="11"/>
      <c r="AP66" s="20"/>
      <c r="AQ66" s="20"/>
      <c r="AR66" s="20"/>
      <c r="AS66" s="20"/>
      <c r="AT66" s="20"/>
      <c r="AU66" s="20"/>
      <c r="AV66" s="20"/>
      <c r="AW66" s="11"/>
      <c r="AX66" s="11"/>
      <c r="AY66" s="11"/>
      <c r="AZ66" s="11"/>
      <c r="BA66" s="21"/>
      <c r="BB66" s="21"/>
      <c r="BC66" s="21"/>
      <c r="BD66" s="24"/>
      <c r="BE66" s="24"/>
      <c r="BF66" s="24"/>
      <c r="BG66" s="24"/>
      <c r="BH66" s="24"/>
      <c r="BI66" s="24"/>
      <c r="BJ66" s="24"/>
      <c r="BK66" s="24"/>
      <c r="BL66" s="24"/>
      <c r="BM66" s="24"/>
      <c r="BN66" s="24"/>
      <c r="BO66" s="24"/>
      <c r="BP66" s="24"/>
      <c r="BQ66" s="24"/>
    </row>
    <row r="67" customFormat="false" ht="15" hidden="false" customHeight="true" outlineLevel="0" collapsed="false">
      <c r="A67" s="11"/>
      <c r="B67" s="11"/>
      <c r="C67" s="11"/>
      <c r="D67" s="12"/>
      <c r="E67" s="11"/>
      <c r="F67" s="11"/>
      <c r="G67" s="11"/>
      <c r="H67" s="11"/>
      <c r="I67" s="11"/>
      <c r="J67" s="11"/>
      <c r="K67" s="11"/>
      <c r="L67" s="11"/>
      <c r="M67" s="11"/>
      <c r="N67" s="11"/>
      <c r="O67" s="11"/>
      <c r="P67" s="11"/>
      <c r="Q67" s="11"/>
      <c r="R67" s="14"/>
      <c r="S67" s="14"/>
      <c r="T67" s="14"/>
      <c r="U67" s="14"/>
      <c r="V67" s="12"/>
      <c r="W67" s="12"/>
      <c r="X67" s="12"/>
      <c r="Y67" s="12"/>
      <c r="Z67" s="12"/>
      <c r="AA67" s="27"/>
      <c r="AB67" s="27"/>
      <c r="AC67" s="27"/>
      <c r="AD67" s="27"/>
      <c r="AE67" s="28"/>
      <c r="AF67" s="28"/>
      <c r="AG67" s="28"/>
      <c r="AH67" s="28"/>
      <c r="AI67" s="29"/>
      <c r="AJ67" s="29"/>
      <c r="AK67" s="28"/>
      <c r="AL67" s="12"/>
      <c r="AM67" s="12"/>
      <c r="AN67" s="11"/>
      <c r="AO67" s="11"/>
      <c r="AP67" s="20"/>
      <c r="AQ67" s="20"/>
      <c r="AR67" s="20"/>
      <c r="AS67" s="20"/>
      <c r="AT67" s="20"/>
      <c r="AU67" s="20"/>
      <c r="AV67" s="20"/>
      <c r="AW67" s="11"/>
      <c r="AX67" s="11"/>
      <c r="AY67" s="11"/>
      <c r="AZ67" s="11"/>
      <c r="BA67" s="21"/>
      <c r="BB67" s="21"/>
      <c r="BC67" s="21"/>
      <c r="BD67" s="24"/>
      <c r="BE67" s="24"/>
      <c r="BF67" s="24"/>
      <c r="BG67" s="24"/>
      <c r="BH67" s="24"/>
      <c r="BI67" s="24"/>
      <c r="BJ67" s="24"/>
      <c r="BK67" s="24"/>
      <c r="BL67" s="24"/>
      <c r="BM67" s="24"/>
      <c r="BN67" s="24"/>
      <c r="BO67" s="24"/>
      <c r="BP67" s="24"/>
      <c r="BQ67" s="24"/>
    </row>
    <row r="68" customFormat="false" ht="15" hidden="false" customHeight="true" outlineLevel="0" collapsed="false">
      <c r="A68" s="11"/>
      <c r="B68" s="11"/>
      <c r="C68" s="11"/>
      <c r="D68" s="12"/>
      <c r="E68" s="11"/>
      <c r="F68" s="11"/>
      <c r="G68" s="11"/>
      <c r="H68" s="11"/>
      <c r="I68" s="11"/>
      <c r="J68" s="11"/>
      <c r="K68" s="11"/>
      <c r="L68" s="11"/>
      <c r="M68" s="11"/>
      <c r="N68" s="11"/>
      <c r="O68" s="11"/>
      <c r="P68" s="11"/>
      <c r="Q68" s="11"/>
      <c r="R68" s="14"/>
      <c r="S68" s="14"/>
      <c r="T68" s="14"/>
      <c r="U68" s="14"/>
      <c r="V68" s="12"/>
      <c r="W68" s="12"/>
      <c r="X68" s="12"/>
      <c r="Y68" s="12"/>
      <c r="Z68" s="12"/>
      <c r="AA68" s="27"/>
      <c r="AB68" s="27"/>
      <c r="AC68" s="27"/>
      <c r="AD68" s="27"/>
      <c r="AE68" s="28"/>
      <c r="AF68" s="28"/>
      <c r="AG68" s="28"/>
      <c r="AH68" s="28"/>
      <c r="AI68" s="29"/>
      <c r="AJ68" s="29"/>
      <c r="AK68" s="28"/>
      <c r="AL68" s="12"/>
      <c r="AM68" s="12"/>
      <c r="AN68" s="11"/>
      <c r="AO68" s="11"/>
      <c r="AP68" s="20"/>
      <c r="AQ68" s="20"/>
      <c r="AR68" s="20"/>
      <c r="AS68" s="20"/>
      <c r="AT68" s="20"/>
      <c r="AU68" s="20"/>
      <c r="AV68" s="20"/>
      <c r="AW68" s="11"/>
      <c r="AX68" s="11"/>
      <c r="AY68" s="11"/>
      <c r="AZ68" s="11"/>
      <c r="BA68" s="21"/>
      <c r="BB68" s="21"/>
      <c r="BC68" s="21"/>
      <c r="BD68" s="24"/>
      <c r="BE68" s="24"/>
      <c r="BF68" s="24"/>
      <c r="BG68" s="24"/>
      <c r="BH68" s="24"/>
      <c r="BI68" s="24"/>
      <c r="BJ68" s="24"/>
      <c r="BK68" s="24"/>
      <c r="BL68" s="24"/>
      <c r="BM68" s="24"/>
      <c r="BN68" s="24"/>
      <c r="BO68" s="24"/>
      <c r="BP68" s="24"/>
      <c r="BQ68" s="24"/>
    </row>
    <row r="69" customFormat="false" ht="15" hidden="false" customHeight="true" outlineLevel="0" collapsed="false">
      <c r="A69" s="11"/>
      <c r="B69" s="11"/>
      <c r="C69" s="11"/>
      <c r="D69" s="12"/>
      <c r="E69" s="11"/>
      <c r="F69" s="11"/>
      <c r="G69" s="11"/>
      <c r="H69" s="11"/>
      <c r="I69" s="11"/>
      <c r="J69" s="11"/>
      <c r="K69" s="11"/>
      <c r="L69" s="11"/>
      <c r="M69" s="11"/>
      <c r="N69" s="11"/>
      <c r="O69" s="11"/>
      <c r="P69" s="11"/>
      <c r="Q69" s="11"/>
      <c r="R69" s="14"/>
      <c r="S69" s="14"/>
      <c r="T69" s="14"/>
      <c r="U69" s="14"/>
      <c r="V69" s="12"/>
      <c r="W69" s="12"/>
      <c r="X69" s="12"/>
      <c r="Y69" s="12"/>
      <c r="Z69" s="12"/>
      <c r="AA69" s="27"/>
      <c r="AB69" s="27"/>
      <c r="AC69" s="27"/>
      <c r="AD69" s="27"/>
      <c r="AE69" s="28"/>
      <c r="AF69" s="28"/>
      <c r="AG69" s="28"/>
      <c r="AH69" s="28"/>
      <c r="AI69" s="29"/>
      <c r="AJ69" s="29"/>
      <c r="AK69" s="28"/>
      <c r="AL69" s="12"/>
      <c r="AM69" s="12"/>
      <c r="AN69" s="11"/>
      <c r="AO69" s="11"/>
      <c r="AP69" s="20"/>
      <c r="AQ69" s="20"/>
      <c r="AR69" s="20"/>
      <c r="AS69" s="20"/>
      <c r="AT69" s="20"/>
      <c r="AU69" s="20"/>
      <c r="AV69" s="20"/>
      <c r="AW69" s="11"/>
      <c r="AX69" s="11"/>
      <c r="AY69" s="11"/>
      <c r="AZ69" s="11"/>
      <c r="BA69" s="21"/>
      <c r="BB69" s="21"/>
      <c r="BC69" s="21"/>
      <c r="BD69" s="24"/>
      <c r="BE69" s="24"/>
      <c r="BF69" s="24"/>
      <c r="BG69" s="24"/>
      <c r="BH69" s="24"/>
      <c r="BI69" s="24"/>
      <c r="BJ69" s="24"/>
      <c r="BK69" s="24"/>
      <c r="BL69" s="24"/>
      <c r="BM69" s="24"/>
      <c r="BN69" s="24"/>
      <c r="BO69" s="24"/>
      <c r="BP69" s="24"/>
      <c r="BQ69" s="24"/>
    </row>
    <row r="70" customFormat="false" ht="15" hidden="false" customHeight="true" outlineLevel="0" collapsed="false">
      <c r="A70" s="11"/>
      <c r="B70" s="11"/>
      <c r="C70" s="11"/>
      <c r="D70" s="12"/>
      <c r="E70" s="11"/>
      <c r="F70" s="11"/>
      <c r="G70" s="11"/>
      <c r="H70" s="11"/>
      <c r="I70" s="11"/>
      <c r="J70" s="11"/>
      <c r="K70" s="11"/>
      <c r="L70" s="11"/>
      <c r="M70" s="11"/>
      <c r="N70" s="11"/>
      <c r="O70" s="11"/>
      <c r="P70" s="11"/>
      <c r="Q70" s="11"/>
      <c r="R70" s="14"/>
      <c r="S70" s="14"/>
      <c r="T70" s="14"/>
      <c r="U70" s="14"/>
      <c r="V70" s="12"/>
      <c r="W70" s="12"/>
      <c r="X70" s="12"/>
      <c r="Y70" s="12"/>
      <c r="Z70" s="12"/>
      <c r="AA70" s="27"/>
      <c r="AB70" s="27"/>
      <c r="AC70" s="27"/>
      <c r="AD70" s="27"/>
      <c r="AE70" s="28"/>
      <c r="AF70" s="28"/>
      <c r="AG70" s="28"/>
      <c r="AH70" s="28"/>
      <c r="AI70" s="29"/>
      <c r="AJ70" s="29"/>
      <c r="AK70" s="28"/>
      <c r="AL70" s="12"/>
      <c r="AM70" s="12"/>
      <c r="AN70" s="11"/>
      <c r="AO70" s="11"/>
      <c r="AP70" s="20"/>
      <c r="AQ70" s="20"/>
      <c r="AR70" s="20"/>
      <c r="AS70" s="20"/>
      <c r="AT70" s="20"/>
      <c r="AU70" s="20"/>
      <c r="AV70" s="20"/>
      <c r="AW70" s="11"/>
      <c r="AX70" s="11"/>
      <c r="AY70" s="11"/>
      <c r="AZ70" s="11"/>
      <c r="BA70" s="21"/>
      <c r="BB70" s="21"/>
      <c r="BC70" s="21"/>
      <c r="BD70" s="24"/>
      <c r="BE70" s="24"/>
      <c r="BF70" s="24"/>
      <c r="BG70" s="24"/>
      <c r="BH70" s="24"/>
      <c r="BI70" s="24"/>
      <c r="BJ70" s="24"/>
      <c r="BK70" s="24"/>
      <c r="BL70" s="24"/>
      <c r="BM70" s="24"/>
      <c r="BN70" s="24"/>
      <c r="BO70" s="24"/>
      <c r="BP70" s="24"/>
      <c r="BQ70" s="24"/>
    </row>
    <row r="71" customFormat="false" ht="15" hidden="false" customHeight="true" outlineLevel="0" collapsed="false">
      <c r="A71" s="11"/>
      <c r="B71" s="11"/>
      <c r="C71" s="11"/>
      <c r="D71" s="12"/>
      <c r="E71" s="11"/>
      <c r="F71" s="11"/>
      <c r="G71" s="11"/>
      <c r="H71" s="11"/>
      <c r="I71" s="11"/>
      <c r="J71" s="11"/>
      <c r="K71" s="11"/>
      <c r="L71" s="11"/>
      <c r="M71" s="11"/>
      <c r="N71" s="11"/>
      <c r="O71" s="11"/>
      <c r="P71" s="11"/>
      <c r="Q71" s="11"/>
      <c r="R71" s="14"/>
      <c r="S71" s="14"/>
      <c r="T71" s="14"/>
      <c r="U71" s="14"/>
      <c r="V71" s="12"/>
      <c r="W71" s="12"/>
      <c r="X71" s="12"/>
      <c r="Y71" s="12"/>
      <c r="Z71" s="12"/>
      <c r="AA71" s="27"/>
      <c r="AB71" s="27"/>
      <c r="AC71" s="27"/>
      <c r="AD71" s="27"/>
      <c r="AE71" s="28"/>
      <c r="AF71" s="28"/>
      <c r="AG71" s="28"/>
      <c r="AH71" s="28"/>
      <c r="AI71" s="29"/>
      <c r="AJ71" s="29"/>
      <c r="AK71" s="28"/>
      <c r="AL71" s="12"/>
      <c r="AM71" s="12"/>
      <c r="AN71" s="11"/>
      <c r="AO71" s="11"/>
      <c r="AP71" s="20"/>
      <c r="AQ71" s="20"/>
      <c r="AR71" s="20"/>
      <c r="AS71" s="20"/>
      <c r="AT71" s="20"/>
      <c r="AU71" s="20"/>
      <c r="AV71" s="20"/>
      <c r="AW71" s="11"/>
      <c r="AX71" s="11"/>
      <c r="AY71" s="11"/>
      <c r="AZ71" s="11"/>
      <c r="BA71" s="21"/>
      <c r="BB71" s="21"/>
      <c r="BC71" s="21"/>
      <c r="BD71" s="24"/>
      <c r="BE71" s="24"/>
      <c r="BF71" s="24"/>
      <c r="BG71" s="24"/>
      <c r="BH71" s="24"/>
      <c r="BI71" s="24"/>
      <c r="BJ71" s="24"/>
      <c r="BK71" s="24"/>
      <c r="BL71" s="24"/>
      <c r="BM71" s="24"/>
      <c r="BN71" s="24"/>
      <c r="BO71" s="24"/>
      <c r="BP71" s="24"/>
      <c r="BQ71" s="24"/>
    </row>
    <row r="72" customFormat="false" ht="15" hidden="false" customHeight="true" outlineLevel="0" collapsed="false">
      <c r="A72" s="11"/>
      <c r="B72" s="11"/>
      <c r="C72" s="11"/>
      <c r="D72" s="12"/>
      <c r="E72" s="11"/>
      <c r="F72" s="11"/>
      <c r="G72" s="11"/>
      <c r="H72" s="11"/>
      <c r="I72" s="11"/>
      <c r="J72" s="11"/>
      <c r="K72" s="11"/>
      <c r="L72" s="11"/>
      <c r="M72" s="11"/>
      <c r="N72" s="11"/>
      <c r="O72" s="11"/>
      <c r="P72" s="11"/>
      <c r="Q72" s="11"/>
      <c r="R72" s="14"/>
      <c r="S72" s="14"/>
      <c r="T72" s="14"/>
      <c r="U72" s="14"/>
      <c r="V72" s="12"/>
      <c r="W72" s="12"/>
      <c r="X72" s="12"/>
      <c r="Y72" s="12"/>
      <c r="Z72" s="12"/>
      <c r="AA72" s="27"/>
      <c r="AB72" s="27"/>
      <c r="AC72" s="27"/>
      <c r="AD72" s="27"/>
      <c r="AE72" s="28"/>
      <c r="AF72" s="28"/>
      <c r="AG72" s="28"/>
      <c r="AH72" s="28"/>
      <c r="AI72" s="29"/>
      <c r="AJ72" s="29"/>
      <c r="AK72" s="28"/>
      <c r="AL72" s="12"/>
      <c r="AM72" s="12"/>
      <c r="AN72" s="11"/>
      <c r="AO72" s="11"/>
      <c r="AP72" s="20"/>
      <c r="AQ72" s="20"/>
      <c r="AR72" s="20"/>
      <c r="AS72" s="20"/>
      <c r="AT72" s="20"/>
      <c r="AU72" s="20"/>
      <c r="AV72" s="20"/>
      <c r="AW72" s="11"/>
      <c r="AX72" s="11"/>
      <c r="AY72" s="11"/>
      <c r="AZ72" s="11"/>
      <c r="BA72" s="21"/>
      <c r="BB72" s="21"/>
      <c r="BC72" s="21"/>
      <c r="BD72" s="24"/>
      <c r="BE72" s="24"/>
      <c r="BF72" s="24"/>
      <c r="BG72" s="24"/>
      <c r="BH72" s="24"/>
      <c r="BI72" s="24"/>
      <c r="BJ72" s="24"/>
      <c r="BK72" s="24"/>
      <c r="BL72" s="24"/>
      <c r="BM72" s="24"/>
      <c r="BN72" s="24"/>
      <c r="BO72" s="24"/>
      <c r="BP72" s="24"/>
      <c r="BQ72" s="24"/>
    </row>
    <row r="73" customFormat="false" ht="15" hidden="false" customHeight="true" outlineLevel="0" collapsed="false">
      <c r="A73" s="11"/>
      <c r="B73" s="11"/>
      <c r="C73" s="11"/>
      <c r="D73" s="12"/>
      <c r="E73" s="11"/>
      <c r="F73" s="11"/>
      <c r="G73" s="11"/>
      <c r="H73" s="11"/>
      <c r="I73" s="11"/>
      <c r="J73" s="11"/>
      <c r="K73" s="11"/>
      <c r="L73" s="11"/>
      <c r="M73" s="11"/>
      <c r="N73" s="11"/>
      <c r="O73" s="11"/>
      <c r="P73" s="11"/>
      <c r="Q73" s="11"/>
      <c r="R73" s="14"/>
      <c r="S73" s="14"/>
      <c r="T73" s="14"/>
      <c r="U73" s="14"/>
      <c r="V73" s="12"/>
      <c r="W73" s="12"/>
      <c r="X73" s="12"/>
      <c r="Y73" s="12"/>
      <c r="Z73" s="12"/>
      <c r="AA73" s="27"/>
      <c r="AB73" s="27"/>
      <c r="AC73" s="27"/>
      <c r="AD73" s="27"/>
      <c r="AE73" s="28"/>
      <c r="AF73" s="28"/>
      <c r="AG73" s="28"/>
      <c r="AH73" s="28"/>
      <c r="AI73" s="29"/>
      <c r="AJ73" s="29"/>
      <c r="AK73" s="28"/>
      <c r="AL73" s="12"/>
      <c r="AM73" s="12"/>
      <c r="AN73" s="11"/>
      <c r="AO73" s="11"/>
      <c r="AP73" s="20"/>
      <c r="AQ73" s="20"/>
      <c r="AR73" s="20"/>
      <c r="AS73" s="20"/>
      <c r="AT73" s="20"/>
      <c r="AU73" s="20"/>
      <c r="AV73" s="20"/>
      <c r="AW73" s="11"/>
      <c r="AX73" s="11"/>
      <c r="AY73" s="11"/>
      <c r="AZ73" s="11"/>
      <c r="BA73" s="21"/>
      <c r="BB73" s="21"/>
      <c r="BC73" s="21"/>
      <c r="BD73" s="24"/>
      <c r="BE73" s="24"/>
      <c r="BF73" s="24"/>
      <c r="BG73" s="24"/>
      <c r="BH73" s="24"/>
      <c r="BI73" s="24"/>
      <c r="BJ73" s="24"/>
      <c r="BK73" s="24"/>
      <c r="BL73" s="24"/>
      <c r="BM73" s="24"/>
      <c r="BN73" s="24"/>
      <c r="BO73" s="24"/>
      <c r="BP73" s="24"/>
      <c r="BQ73" s="24"/>
    </row>
    <row r="74" customFormat="false" ht="15" hidden="false" customHeight="true" outlineLevel="0" collapsed="false">
      <c r="A74" s="11"/>
      <c r="B74" s="11"/>
      <c r="C74" s="11"/>
      <c r="D74" s="12"/>
      <c r="E74" s="11"/>
      <c r="F74" s="11"/>
      <c r="G74" s="11"/>
      <c r="H74" s="11"/>
      <c r="I74" s="11"/>
      <c r="J74" s="11"/>
      <c r="K74" s="11"/>
      <c r="L74" s="11"/>
      <c r="M74" s="11"/>
      <c r="N74" s="11"/>
      <c r="O74" s="11"/>
      <c r="P74" s="11"/>
      <c r="Q74" s="11"/>
      <c r="R74" s="14"/>
      <c r="S74" s="14"/>
      <c r="T74" s="14"/>
      <c r="U74" s="14"/>
      <c r="V74" s="12"/>
      <c r="W74" s="12"/>
      <c r="X74" s="12"/>
      <c r="Y74" s="12"/>
      <c r="Z74" s="12"/>
      <c r="AA74" s="27"/>
      <c r="AB74" s="27"/>
      <c r="AC74" s="27"/>
      <c r="AD74" s="27"/>
      <c r="AE74" s="28"/>
      <c r="AF74" s="28"/>
      <c r="AG74" s="28"/>
      <c r="AH74" s="28"/>
      <c r="AI74" s="29"/>
      <c r="AJ74" s="29"/>
      <c r="AK74" s="28"/>
      <c r="AL74" s="12"/>
      <c r="AM74" s="12"/>
      <c r="AN74" s="11"/>
      <c r="AO74" s="11"/>
      <c r="AP74" s="20"/>
      <c r="AQ74" s="20"/>
      <c r="AR74" s="20"/>
      <c r="AS74" s="20"/>
      <c r="AT74" s="20"/>
      <c r="AU74" s="20"/>
      <c r="AV74" s="20"/>
      <c r="AW74" s="11"/>
      <c r="AX74" s="11"/>
      <c r="AY74" s="11"/>
      <c r="AZ74" s="11"/>
      <c r="BA74" s="21"/>
      <c r="BB74" s="21"/>
      <c r="BC74" s="21"/>
      <c r="BD74" s="24"/>
      <c r="BE74" s="24"/>
      <c r="BF74" s="24"/>
      <c r="BG74" s="24"/>
      <c r="BH74" s="24"/>
      <c r="BI74" s="24"/>
      <c r="BJ74" s="24"/>
      <c r="BK74" s="24"/>
      <c r="BL74" s="24"/>
      <c r="BM74" s="24"/>
      <c r="BN74" s="24"/>
      <c r="BO74" s="24"/>
      <c r="BP74" s="24"/>
      <c r="BQ74" s="24"/>
    </row>
    <row r="75" customFormat="false" ht="15" hidden="false" customHeight="true" outlineLevel="0" collapsed="false">
      <c r="A75" s="11"/>
      <c r="B75" s="11"/>
      <c r="C75" s="11"/>
      <c r="D75" s="12"/>
      <c r="E75" s="11"/>
      <c r="F75" s="11"/>
      <c r="G75" s="11"/>
      <c r="H75" s="11"/>
      <c r="I75" s="11"/>
      <c r="J75" s="11"/>
      <c r="K75" s="11"/>
      <c r="L75" s="11"/>
      <c r="M75" s="11"/>
      <c r="N75" s="11"/>
      <c r="O75" s="11"/>
      <c r="P75" s="11"/>
      <c r="Q75" s="11"/>
      <c r="R75" s="14"/>
      <c r="S75" s="14"/>
      <c r="T75" s="14"/>
      <c r="U75" s="14"/>
      <c r="V75" s="12"/>
      <c r="W75" s="12"/>
      <c r="X75" s="12"/>
      <c r="Y75" s="12"/>
      <c r="Z75" s="12"/>
      <c r="AA75" s="27"/>
      <c r="AB75" s="27"/>
      <c r="AC75" s="27"/>
      <c r="AD75" s="27"/>
      <c r="AE75" s="28"/>
      <c r="AF75" s="28"/>
      <c r="AG75" s="28"/>
      <c r="AH75" s="28"/>
      <c r="AI75" s="29"/>
      <c r="AJ75" s="29"/>
      <c r="AK75" s="28"/>
      <c r="AL75" s="12"/>
      <c r="AM75" s="12"/>
      <c r="AN75" s="11"/>
      <c r="AO75" s="11"/>
      <c r="AP75" s="20"/>
      <c r="AQ75" s="20"/>
      <c r="AR75" s="20"/>
      <c r="AS75" s="20"/>
      <c r="AT75" s="20"/>
      <c r="AU75" s="20"/>
      <c r="AV75" s="20"/>
      <c r="AW75" s="11"/>
      <c r="AX75" s="11"/>
      <c r="AY75" s="11"/>
      <c r="AZ75" s="11"/>
      <c r="BA75" s="21"/>
      <c r="BB75" s="21"/>
      <c r="BC75" s="21"/>
      <c r="BD75" s="24"/>
      <c r="BE75" s="24"/>
      <c r="BF75" s="24"/>
      <c r="BG75" s="24"/>
      <c r="BH75" s="24"/>
      <c r="BI75" s="24"/>
      <c r="BJ75" s="24"/>
      <c r="BK75" s="24"/>
      <c r="BL75" s="24"/>
      <c r="BM75" s="24"/>
      <c r="BN75" s="24"/>
      <c r="BO75" s="24"/>
      <c r="BP75" s="24"/>
      <c r="BQ75" s="24"/>
    </row>
    <row r="76" customFormat="false" ht="15" hidden="false" customHeight="true" outlineLevel="0" collapsed="false">
      <c r="A76" s="11"/>
      <c r="B76" s="11"/>
      <c r="C76" s="11"/>
      <c r="D76" s="12"/>
      <c r="E76" s="11"/>
      <c r="F76" s="11"/>
      <c r="G76" s="11"/>
      <c r="H76" s="11"/>
      <c r="I76" s="11"/>
      <c r="J76" s="11"/>
      <c r="K76" s="11"/>
      <c r="L76" s="11"/>
      <c r="M76" s="11"/>
      <c r="N76" s="11"/>
      <c r="O76" s="11"/>
      <c r="P76" s="11"/>
      <c r="Q76" s="11"/>
      <c r="R76" s="14"/>
      <c r="S76" s="14"/>
      <c r="T76" s="14"/>
      <c r="U76" s="14"/>
      <c r="V76" s="12"/>
      <c r="W76" s="12"/>
      <c r="X76" s="12"/>
      <c r="Y76" s="12"/>
      <c r="Z76" s="12"/>
      <c r="AA76" s="27"/>
      <c r="AB76" s="27"/>
      <c r="AC76" s="27"/>
      <c r="AD76" s="27"/>
      <c r="AE76" s="28"/>
      <c r="AF76" s="28"/>
      <c r="AG76" s="28"/>
      <c r="AH76" s="28"/>
      <c r="AI76" s="29"/>
      <c r="AJ76" s="29"/>
      <c r="AK76" s="28"/>
      <c r="AL76" s="12"/>
      <c r="AM76" s="12"/>
      <c r="AN76" s="11"/>
      <c r="AO76" s="11"/>
      <c r="AP76" s="20"/>
      <c r="AQ76" s="20"/>
      <c r="AR76" s="20"/>
      <c r="AS76" s="20"/>
      <c r="AT76" s="20"/>
      <c r="AU76" s="20"/>
      <c r="AV76" s="20"/>
      <c r="AW76" s="11"/>
      <c r="AX76" s="11"/>
      <c r="AY76" s="11"/>
      <c r="AZ76" s="11"/>
      <c r="BA76" s="21"/>
      <c r="BB76" s="21"/>
      <c r="BC76" s="21"/>
      <c r="BD76" s="24"/>
      <c r="BE76" s="24"/>
      <c r="BF76" s="24"/>
      <c r="BG76" s="24"/>
      <c r="BH76" s="24"/>
      <c r="BI76" s="24"/>
      <c r="BJ76" s="24"/>
      <c r="BK76" s="24"/>
      <c r="BL76" s="24"/>
      <c r="BM76" s="24"/>
      <c r="BN76" s="24"/>
      <c r="BO76" s="24"/>
      <c r="BP76" s="24"/>
      <c r="BQ76" s="24"/>
    </row>
    <row r="77" customFormat="false" ht="15" hidden="false" customHeight="true" outlineLevel="0" collapsed="false">
      <c r="A77" s="11"/>
      <c r="B77" s="11"/>
      <c r="C77" s="11"/>
      <c r="D77" s="12"/>
      <c r="E77" s="11"/>
      <c r="F77" s="11"/>
      <c r="G77" s="11"/>
      <c r="H77" s="11"/>
      <c r="I77" s="11"/>
      <c r="J77" s="11"/>
      <c r="K77" s="11"/>
      <c r="L77" s="11"/>
      <c r="M77" s="11"/>
      <c r="N77" s="11"/>
      <c r="O77" s="11"/>
      <c r="P77" s="11"/>
      <c r="Q77" s="11"/>
      <c r="R77" s="14"/>
      <c r="S77" s="14"/>
      <c r="T77" s="14"/>
      <c r="U77" s="14"/>
      <c r="V77" s="12"/>
      <c r="W77" s="12"/>
      <c r="X77" s="12"/>
      <c r="Y77" s="12"/>
      <c r="Z77" s="12"/>
      <c r="AA77" s="27"/>
      <c r="AB77" s="27"/>
      <c r="AC77" s="27"/>
      <c r="AD77" s="27"/>
      <c r="AE77" s="28"/>
      <c r="AF77" s="28"/>
      <c r="AG77" s="28"/>
      <c r="AH77" s="28"/>
      <c r="AI77" s="29"/>
      <c r="AJ77" s="29"/>
      <c r="AK77" s="28"/>
      <c r="AL77" s="12"/>
      <c r="AM77" s="12"/>
      <c r="AN77" s="11"/>
      <c r="AO77" s="11"/>
      <c r="AP77" s="20"/>
      <c r="AQ77" s="20"/>
      <c r="AR77" s="20"/>
      <c r="AS77" s="20"/>
      <c r="AT77" s="20"/>
      <c r="AU77" s="20"/>
      <c r="AV77" s="20"/>
      <c r="AW77" s="11"/>
      <c r="AX77" s="11"/>
      <c r="AY77" s="11"/>
      <c r="AZ77" s="11"/>
      <c r="BA77" s="21"/>
      <c r="BB77" s="21"/>
      <c r="BC77" s="21"/>
      <c r="BD77" s="24"/>
      <c r="BE77" s="24"/>
      <c r="BF77" s="24"/>
      <c r="BG77" s="24"/>
      <c r="BH77" s="24"/>
      <c r="BI77" s="24"/>
      <c r="BJ77" s="24"/>
      <c r="BK77" s="24"/>
      <c r="BL77" s="24"/>
      <c r="BM77" s="24"/>
      <c r="BN77" s="24"/>
      <c r="BO77" s="24"/>
      <c r="BP77" s="24"/>
      <c r="BQ77" s="24"/>
    </row>
    <row r="78" customFormat="false" ht="15" hidden="false" customHeight="true" outlineLevel="0" collapsed="false">
      <c r="A78" s="11"/>
      <c r="B78" s="11"/>
      <c r="C78" s="11"/>
      <c r="D78" s="12"/>
      <c r="E78" s="11"/>
      <c r="F78" s="11"/>
      <c r="G78" s="11"/>
      <c r="H78" s="11"/>
      <c r="I78" s="11"/>
      <c r="J78" s="11"/>
      <c r="K78" s="11"/>
      <c r="L78" s="11"/>
      <c r="M78" s="11"/>
      <c r="N78" s="11"/>
      <c r="O78" s="11"/>
      <c r="P78" s="11"/>
      <c r="Q78" s="11"/>
      <c r="R78" s="14"/>
      <c r="S78" s="14"/>
      <c r="T78" s="14"/>
      <c r="U78" s="14"/>
      <c r="V78" s="12"/>
      <c r="W78" s="12"/>
      <c r="X78" s="12"/>
      <c r="Y78" s="12"/>
      <c r="Z78" s="12"/>
      <c r="AA78" s="27"/>
      <c r="AB78" s="27"/>
      <c r="AC78" s="27"/>
      <c r="AD78" s="27"/>
      <c r="AE78" s="28"/>
      <c r="AF78" s="28"/>
      <c r="AG78" s="28"/>
      <c r="AH78" s="28"/>
      <c r="AI78" s="29"/>
      <c r="AJ78" s="29"/>
      <c r="AK78" s="28"/>
      <c r="AL78" s="12"/>
      <c r="AM78" s="12"/>
      <c r="AN78" s="11"/>
      <c r="AO78" s="11"/>
      <c r="AP78" s="20"/>
      <c r="AQ78" s="20"/>
      <c r="AR78" s="20"/>
      <c r="AS78" s="20"/>
      <c r="AT78" s="20"/>
      <c r="AU78" s="20"/>
      <c r="AV78" s="20"/>
      <c r="AW78" s="11"/>
      <c r="AX78" s="11"/>
      <c r="AY78" s="11"/>
      <c r="AZ78" s="11"/>
      <c r="BA78" s="21"/>
      <c r="BB78" s="21"/>
      <c r="BC78" s="21"/>
      <c r="BD78" s="24"/>
      <c r="BE78" s="24"/>
      <c r="BF78" s="24"/>
      <c r="BG78" s="24"/>
      <c r="BH78" s="24"/>
      <c r="BI78" s="24"/>
      <c r="BJ78" s="24"/>
      <c r="BK78" s="24"/>
      <c r="BL78" s="24"/>
      <c r="BM78" s="24"/>
      <c r="BN78" s="24"/>
      <c r="BO78" s="24"/>
      <c r="BP78" s="24"/>
      <c r="BQ78" s="24"/>
    </row>
    <row r="79" customFormat="false" ht="15" hidden="false" customHeight="true" outlineLevel="0" collapsed="false">
      <c r="A79" s="11"/>
      <c r="B79" s="11"/>
      <c r="C79" s="11"/>
      <c r="D79" s="12"/>
      <c r="E79" s="11"/>
      <c r="F79" s="11"/>
      <c r="G79" s="11"/>
      <c r="H79" s="11"/>
      <c r="I79" s="11"/>
      <c r="J79" s="11"/>
      <c r="K79" s="11"/>
      <c r="L79" s="11"/>
      <c r="M79" s="11"/>
      <c r="N79" s="11"/>
      <c r="O79" s="11"/>
      <c r="P79" s="11"/>
      <c r="Q79" s="11"/>
      <c r="R79" s="14"/>
      <c r="S79" s="14"/>
      <c r="T79" s="14"/>
      <c r="U79" s="14"/>
      <c r="V79" s="12"/>
      <c r="W79" s="12"/>
      <c r="X79" s="12"/>
      <c r="Y79" s="12"/>
      <c r="Z79" s="12"/>
      <c r="AA79" s="27"/>
      <c r="AB79" s="27"/>
      <c r="AC79" s="27"/>
      <c r="AD79" s="27"/>
      <c r="AE79" s="28"/>
      <c r="AF79" s="28"/>
      <c r="AG79" s="28"/>
      <c r="AH79" s="28"/>
      <c r="AI79" s="29"/>
      <c r="AJ79" s="29"/>
      <c r="AK79" s="28"/>
      <c r="AL79" s="12"/>
      <c r="AM79" s="12"/>
      <c r="AN79" s="11"/>
      <c r="AO79" s="11"/>
      <c r="AP79" s="20"/>
      <c r="AQ79" s="20"/>
      <c r="AR79" s="20"/>
      <c r="AS79" s="20"/>
      <c r="AT79" s="20"/>
      <c r="AU79" s="20"/>
      <c r="AV79" s="20"/>
      <c r="AW79" s="11"/>
      <c r="AX79" s="11"/>
      <c r="AY79" s="11"/>
      <c r="AZ79" s="11"/>
      <c r="BA79" s="21"/>
      <c r="BB79" s="21"/>
      <c r="BC79" s="21"/>
      <c r="BD79" s="24"/>
      <c r="BE79" s="24"/>
      <c r="BF79" s="24"/>
      <c r="BG79" s="24"/>
      <c r="BH79" s="24"/>
      <c r="BI79" s="24"/>
      <c r="BJ79" s="24"/>
      <c r="BK79" s="24"/>
      <c r="BL79" s="24"/>
      <c r="BM79" s="24"/>
      <c r="BN79" s="24"/>
      <c r="BO79" s="24"/>
      <c r="BP79" s="24"/>
      <c r="BQ79" s="24"/>
    </row>
    <row r="80" customFormat="false" ht="15" hidden="false" customHeight="true" outlineLevel="0" collapsed="false">
      <c r="A80" s="11"/>
      <c r="B80" s="11"/>
      <c r="C80" s="11"/>
      <c r="D80" s="12"/>
      <c r="E80" s="11"/>
      <c r="F80" s="11"/>
      <c r="G80" s="11"/>
      <c r="H80" s="11"/>
      <c r="I80" s="11"/>
      <c r="J80" s="11"/>
      <c r="K80" s="11"/>
      <c r="L80" s="11"/>
      <c r="M80" s="11"/>
      <c r="N80" s="11"/>
      <c r="O80" s="11"/>
      <c r="P80" s="11"/>
      <c r="Q80" s="11"/>
      <c r="R80" s="14"/>
      <c r="S80" s="14"/>
      <c r="T80" s="14"/>
      <c r="U80" s="14"/>
      <c r="V80" s="12"/>
      <c r="W80" s="12"/>
      <c r="X80" s="12"/>
      <c r="Y80" s="12"/>
      <c r="Z80" s="12"/>
      <c r="AA80" s="27"/>
      <c r="AB80" s="27"/>
      <c r="AC80" s="27"/>
      <c r="AD80" s="27"/>
      <c r="AE80" s="28"/>
      <c r="AF80" s="28"/>
      <c r="AG80" s="28"/>
      <c r="AH80" s="28"/>
      <c r="AI80" s="29"/>
      <c r="AJ80" s="29"/>
      <c r="AK80" s="28"/>
      <c r="AL80" s="12"/>
      <c r="AM80" s="12"/>
      <c r="AN80" s="11"/>
      <c r="AO80" s="11"/>
      <c r="AP80" s="20"/>
      <c r="AQ80" s="20"/>
      <c r="AR80" s="20"/>
      <c r="AS80" s="20"/>
      <c r="AT80" s="20"/>
      <c r="AU80" s="20"/>
      <c r="AV80" s="20"/>
      <c r="AW80" s="11"/>
      <c r="AX80" s="11"/>
      <c r="AY80" s="11"/>
      <c r="AZ80" s="11"/>
      <c r="BA80" s="21"/>
      <c r="BB80" s="21"/>
      <c r="BC80" s="21"/>
      <c r="BD80" s="24"/>
      <c r="BE80" s="24"/>
      <c r="BF80" s="24"/>
      <c r="BG80" s="24"/>
      <c r="BH80" s="24"/>
      <c r="BI80" s="24"/>
      <c r="BJ80" s="24"/>
      <c r="BK80" s="24"/>
      <c r="BL80" s="24"/>
      <c r="BM80" s="24"/>
      <c r="BN80" s="24"/>
      <c r="BO80" s="24"/>
      <c r="BP80" s="24"/>
      <c r="BQ80" s="24"/>
    </row>
    <row r="81" customFormat="false" ht="15" hidden="false" customHeight="true" outlineLevel="0" collapsed="false">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24"/>
      <c r="BB81" s="24"/>
      <c r="BC81" s="24"/>
      <c r="BD81" s="24"/>
      <c r="BE81" s="24"/>
      <c r="BF81" s="24"/>
      <c r="BG81" s="24"/>
      <c r="BH81" s="24"/>
      <c r="BI81" s="24"/>
      <c r="BJ81" s="24"/>
      <c r="BK81" s="24"/>
      <c r="BL81" s="24"/>
      <c r="BM81" s="24"/>
      <c r="BN81" s="24"/>
      <c r="BO81" s="24"/>
      <c r="BP81" s="24"/>
      <c r="BQ81" s="24"/>
    </row>
    <row r="82" customFormat="false" ht="15" hidden="false" customHeight="true" outlineLevel="0" collapsed="false">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24"/>
      <c r="BB82" s="24"/>
      <c r="BC82" s="24"/>
      <c r="BD82" s="24"/>
      <c r="BE82" s="24"/>
      <c r="BF82" s="24"/>
      <c r="BG82" s="24"/>
      <c r="BH82" s="24"/>
      <c r="BI82" s="24"/>
      <c r="BJ82" s="24"/>
      <c r="BK82" s="24"/>
      <c r="BL82" s="24"/>
      <c r="BM82" s="24"/>
      <c r="BN82" s="24"/>
      <c r="BO82" s="24"/>
      <c r="BP82" s="24"/>
      <c r="BQ82" s="24"/>
    </row>
    <row r="83" customFormat="false" ht="15" hidden="false" customHeight="true" outlineLevel="0" collapsed="false">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24"/>
      <c r="BB83" s="24"/>
      <c r="BC83" s="24"/>
      <c r="BD83" s="24"/>
      <c r="BE83" s="24"/>
      <c r="BF83" s="24"/>
      <c r="BG83" s="24"/>
      <c r="BH83" s="24"/>
      <c r="BI83" s="24"/>
      <c r="BJ83" s="24"/>
      <c r="BK83" s="24"/>
      <c r="BL83" s="24"/>
      <c r="BM83" s="24"/>
      <c r="BN83" s="24"/>
      <c r="BO83" s="24"/>
      <c r="BP83" s="24"/>
      <c r="BQ83" s="24"/>
    </row>
    <row r="84" customFormat="false" ht="15" hidden="false" customHeight="true" outlineLevel="0" collapsed="false">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24"/>
      <c r="BB84" s="24"/>
      <c r="BC84" s="24"/>
      <c r="BD84" s="24"/>
      <c r="BE84" s="24"/>
      <c r="BF84" s="24"/>
      <c r="BG84" s="24"/>
      <c r="BH84" s="24"/>
      <c r="BI84" s="24"/>
      <c r="BJ84" s="24"/>
      <c r="BK84" s="24"/>
      <c r="BL84" s="24"/>
      <c r="BM84" s="24"/>
      <c r="BN84" s="24"/>
      <c r="BO84" s="24"/>
      <c r="BP84" s="24"/>
      <c r="BQ84" s="24"/>
    </row>
    <row r="85" customFormat="false" ht="15" hidden="false" customHeight="true" outlineLevel="0" collapsed="false">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24"/>
      <c r="BB85" s="24"/>
      <c r="BC85" s="24"/>
      <c r="BD85" s="24"/>
      <c r="BE85" s="24"/>
      <c r="BF85" s="24"/>
      <c r="BG85" s="24"/>
      <c r="BH85" s="24"/>
      <c r="BI85" s="24"/>
      <c r="BJ85" s="24"/>
      <c r="BK85" s="24"/>
      <c r="BL85" s="24"/>
      <c r="BM85" s="24"/>
      <c r="BN85" s="24"/>
      <c r="BO85" s="24"/>
      <c r="BP85" s="24"/>
      <c r="BQ85" s="24"/>
    </row>
    <row r="86" customFormat="false" ht="15" hidden="false" customHeight="true" outlineLevel="0" collapsed="false">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24"/>
      <c r="BB86" s="24"/>
      <c r="BC86" s="24"/>
      <c r="BD86" s="24"/>
      <c r="BE86" s="24"/>
      <c r="BF86" s="24"/>
      <c r="BG86" s="24"/>
      <c r="BH86" s="24"/>
      <c r="BI86" s="24"/>
      <c r="BJ86" s="24"/>
      <c r="BK86" s="24"/>
      <c r="BL86" s="24"/>
      <c r="BM86" s="24"/>
      <c r="BN86" s="24"/>
      <c r="BO86" s="24"/>
      <c r="BP86" s="24"/>
      <c r="BQ86" s="24"/>
    </row>
    <row r="87" customFormat="false" ht="15" hidden="false" customHeight="true" outlineLevel="0" collapsed="false">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24"/>
      <c r="BB87" s="24"/>
      <c r="BC87" s="24"/>
      <c r="BD87" s="24"/>
      <c r="BE87" s="24"/>
      <c r="BF87" s="24"/>
      <c r="BG87" s="24"/>
      <c r="BH87" s="24"/>
      <c r="BI87" s="24"/>
      <c r="BJ87" s="24"/>
      <c r="BK87" s="24"/>
      <c r="BL87" s="24"/>
      <c r="BM87" s="24"/>
      <c r="BN87" s="24"/>
      <c r="BO87" s="24"/>
      <c r="BP87" s="24"/>
      <c r="BQ87" s="24"/>
    </row>
    <row r="88" customFormat="false" ht="15" hidden="false" customHeight="true" outlineLevel="0" collapsed="false">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24"/>
      <c r="BB88" s="24"/>
      <c r="BC88" s="24"/>
      <c r="BD88" s="24"/>
      <c r="BE88" s="24"/>
      <c r="BF88" s="24"/>
      <c r="BG88" s="24"/>
      <c r="BH88" s="24"/>
      <c r="BI88" s="24"/>
      <c r="BJ88" s="24"/>
      <c r="BK88" s="24"/>
      <c r="BL88" s="24"/>
      <c r="BM88" s="24"/>
      <c r="BN88" s="24"/>
      <c r="BO88" s="24"/>
      <c r="BP88" s="24"/>
      <c r="BQ88" s="24"/>
    </row>
    <row r="89" customFormat="false" ht="15" hidden="false" customHeight="true" outlineLevel="0" collapsed="false">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24"/>
      <c r="BB89" s="24"/>
      <c r="BC89" s="24"/>
      <c r="BD89" s="24"/>
      <c r="BE89" s="24"/>
      <c r="BF89" s="24"/>
      <c r="BG89" s="24"/>
      <c r="BH89" s="24"/>
      <c r="BI89" s="24"/>
      <c r="BJ89" s="24"/>
      <c r="BK89" s="24"/>
      <c r="BL89" s="24"/>
      <c r="BM89" s="24"/>
      <c r="BN89" s="24"/>
      <c r="BO89" s="24"/>
      <c r="BP89" s="24"/>
      <c r="BQ89" s="24"/>
    </row>
    <row r="90" customFormat="false" ht="15" hidden="false" customHeight="true" outlineLevel="0" collapsed="false">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24"/>
      <c r="BB90" s="24"/>
      <c r="BC90" s="24"/>
      <c r="BD90" s="24"/>
      <c r="BE90" s="24"/>
      <c r="BF90" s="24"/>
      <c r="BG90" s="24"/>
      <c r="BH90" s="24"/>
      <c r="BI90" s="24"/>
      <c r="BJ90" s="24"/>
      <c r="BK90" s="24"/>
      <c r="BL90" s="24"/>
      <c r="BM90" s="24"/>
      <c r="BN90" s="24"/>
      <c r="BO90" s="24"/>
      <c r="BP90" s="24"/>
      <c r="BQ90" s="24"/>
    </row>
    <row r="91" customFormat="false" ht="15" hidden="false" customHeight="true" outlineLevel="0" collapsed="false">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24"/>
      <c r="BB91" s="24"/>
      <c r="BC91" s="24"/>
      <c r="BD91" s="24"/>
      <c r="BE91" s="24"/>
      <c r="BF91" s="24"/>
      <c r="BG91" s="24"/>
      <c r="BH91" s="24"/>
      <c r="BI91" s="24"/>
      <c r="BJ91" s="24"/>
      <c r="BK91" s="24"/>
      <c r="BL91" s="24"/>
      <c r="BM91" s="24"/>
      <c r="BN91" s="24"/>
      <c r="BO91" s="24"/>
      <c r="BP91" s="24"/>
      <c r="BQ91" s="24"/>
    </row>
    <row r="92" customFormat="false" ht="15" hidden="false" customHeight="true" outlineLevel="0" collapsed="false">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24"/>
      <c r="BB92" s="24"/>
      <c r="BC92" s="24"/>
      <c r="BD92" s="24"/>
      <c r="BE92" s="24"/>
      <c r="BF92" s="24"/>
      <c r="BG92" s="24"/>
      <c r="BH92" s="24"/>
      <c r="BI92" s="24"/>
      <c r="BJ92" s="24"/>
      <c r="BK92" s="24"/>
      <c r="BL92" s="24"/>
      <c r="BM92" s="24"/>
      <c r="BN92" s="24"/>
      <c r="BO92" s="24"/>
      <c r="BP92" s="24"/>
      <c r="BQ92" s="24"/>
    </row>
    <row r="93" customFormat="false" ht="15" hidden="false" customHeight="true" outlineLevel="0" collapsed="false">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24"/>
      <c r="BB93" s="24"/>
      <c r="BC93" s="24"/>
      <c r="BD93" s="24"/>
      <c r="BE93" s="24"/>
      <c r="BF93" s="24"/>
      <c r="BG93" s="24"/>
      <c r="BH93" s="24"/>
      <c r="BI93" s="24"/>
      <c r="BJ93" s="24"/>
      <c r="BK93" s="24"/>
      <c r="BL93" s="24"/>
      <c r="BM93" s="24"/>
      <c r="BN93" s="24"/>
      <c r="BO93" s="24"/>
      <c r="BP93" s="24"/>
      <c r="BQ93" s="24"/>
    </row>
    <row r="94" customFormat="false" ht="15" hidden="false" customHeight="true" outlineLevel="0" collapsed="false">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24"/>
      <c r="BB94" s="24"/>
      <c r="BC94" s="24"/>
      <c r="BD94" s="24"/>
      <c r="BE94" s="24"/>
      <c r="BF94" s="24"/>
      <c r="BG94" s="24"/>
      <c r="BH94" s="24"/>
      <c r="BI94" s="24"/>
      <c r="BJ94" s="24"/>
      <c r="BK94" s="24"/>
      <c r="BL94" s="24"/>
      <c r="BM94" s="24"/>
      <c r="BN94" s="24"/>
      <c r="BO94" s="24"/>
      <c r="BP94" s="24"/>
      <c r="BQ94" s="24"/>
    </row>
    <row r="95" customFormat="false" ht="15" hidden="false" customHeight="true" outlineLevel="0" collapsed="false">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24"/>
      <c r="BB95" s="24"/>
      <c r="BC95" s="24"/>
      <c r="BD95" s="24"/>
      <c r="BE95" s="24"/>
      <c r="BF95" s="24"/>
      <c r="BG95" s="24"/>
      <c r="BH95" s="24"/>
      <c r="BI95" s="24"/>
      <c r="BJ95" s="24"/>
      <c r="BK95" s="24"/>
      <c r="BL95" s="24"/>
      <c r="BM95" s="24"/>
      <c r="BN95" s="24"/>
      <c r="BO95" s="24"/>
      <c r="BP95" s="24"/>
      <c r="BQ95" s="24"/>
    </row>
    <row r="96" customFormat="false" ht="15" hidden="false" customHeight="true" outlineLevel="0" collapsed="false">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24"/>
      <c r="BB96" s="24"/>
      <c r="BC96" s="24"/>
      <c r="BD96" s="24"/>
      <c r="BE96" s="24"/>
      <c r="BF96" s="24"/>
      <c r="BG96" s="24"/>
      <c r="BH96" s="24"/>
      <c r="BI96" s="24"/>
      <c r="BJ96" s="24"/>
      <c r="BK96" s="24"/>
      <c r="BL96" s="24"/>
      <c r="BM96" s="24"/>
      <c r="BN96" s="24"/>
      <c r="BO96" s="24"/>
      <c r="BP96" s="24"/>
      <c r="BQ96" s="24"/>
    </row>
    <row r="97" customFormat="false" ht="15" hidden="false" customHeight="true" outlineLevel="0" collapsed="false">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24"/>
      <c r="BB97" s="24"/>
      <c r="BC97" s="24"/>
      <c r="BD97" s="24"/>
      <c r="BE97" s="24"/>
      <c r="BF97" s="24"/>
      <c r="BG97" s="24"/>
      <c r="BH97" s="24"/>
      <c r="BI97" s="24"/>
      <c r="BJ97" s="24"/>
      <c r="BK97" s="24"/>
      <c r="BL97" s="24"/>
      <c r="BM97" s="24"/>
      <c r="BN97" s="24"/>
      <c r="BO97" s="24"/>
      <c r="BP97" s="24"/>
      <c r="BQ97" s="24"/>
    </row>
    <row r="98" customFormat="false" ht="15" hidden="false" customHeight="true" outlineLevel="0" collapsed="false">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24"/>
      <c r="BB98" s="24"/>
      <c r="BC98" s="24"/>
      <c r="BD98" s="24"/>
      <c r="BE98" s="24"/>
      <c r="BF98" s="24"/>
      <c r="BG98" s="24"/>
      <c r="BH98" s="24"/>
      <c r="BI98" s="24"/>
      <c r="BJ98" s="24"/>
      <c r="BK98" s="24"/>
      <c r="BL98" s="24"/>
      <c r="BM98" s="24"/>
      <c r="BN98" s="24"/>
      <c r="BO98" s="24"/>
      <c r="BP98" s="24"/>
      <c r="BQ98" s="24"/>
    </row>
    <row r="99" customFormat="false" ht="15" hidden="false" customHeight="true" outlineLevel="0" collapsed="false">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24"/>
      <c r="BB99" s="24"/>
      <c r="BC99" s="24"/>
      <c r="BD99" s="24"/>
      <c r="BE99" s="24"/>
      <c r="BF99" s="24"/>
      <c r="BG99" s="24"/>
      <c r="BH99" s="24"/>
      <c r="BI99" s="24"/>
      <c r="BJ99" s="24"/>
      <c r="BK99" s="24"/>
      <c r="BL99" s="24"/>
      <c r="BM99" s="24"/>
      <c r="BN99" s="24"/>
      <c r="BO99" s="24"/>
      <c r="BP99" s="24"/>
      <c r="BQ99" s="24"/>
    </row>
    <row r="100" customFormat="false" ht="15" hidden="false" customHeight="true" outlineLevel="0" collapsed="false">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24"/>
      <c r="BB100" s="24"/>
      <c r="BC100" s="24"/>
      <c r="BD100" s="24"/>
      <c r="BE100" s="24"/>
      <c r="BF100" s="24"/>
      <c r="BG100" s="24"/>
      <c r="BH100" s="24"/>
      <c r="BI100" s="24"/>
      <c r="BJ100" s="24"/>
      <c r="BK100" s="24"/>
      <c r="BL100" s="24"/>
      <c r="BM100" s="24"/>
      <c r="BN100" s="24"/>
      <c r="BO100" s="24"/>
      <c r="BP100" s="24"/>
      <c r="BQ100" s="24"/>
    </row>
    <row r="101" customFormat="false" ht="15" hidden="false" customHeight="true" outlineLevel="0" collapsed="false">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24"/>
      <c r="BB101" s="24"/>
      <c r="BC101" s="24"/>
      <c r="BD101" s="24"/>
      <c r="BE101" s="24"/>
      <c r="BF101" s="24"/>
      <c r="BG101" s="24"/>
      <c r="BH101" s="24"/>
      <c r="BI101" s="24"/>
      <c r="BJ101" s="24"/>
      <c r="BK101" s="24"/>
      <c r="BL101" s="24"/>
      <c r="BM101" s="24"/>
      <c r="BN101" s="24"/>
      <c r="BO101" s="24"/>
      <c r="BP101" s="24"/>
      <c r="BQ101" s="24"/>
    </row>
    <row r="102" customFormat="false" ht="15" hidden="false" customHeight="true" outlineLevel="0" collapsed="false">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24"/>
      <c r="BB102" s="24"/>
      <c r="BC102" s="24"/>
      <c r="BD102" s="24"/>
      <c r="BE102" s="24"/>
      <c r="BF102" s="24"/>
      <c r="BG102" s="24"/>
      <c r="BH102" s="24"/>
      <c r="BI102" s="24"/>
      <c r="BJ102" s="24"/>
      <c r="BK102" s="24"/>
      <c r="BL102" s="24"/>
      <c r="BM102" s="24"/>
      <c r="BN102" s="24"/>
      <c r="BO102" s="24"/>
      <c r="BP102" s="24"/>
      <c r="BQ102" s="24"/>
    </row>
    <row r="103" customFormat="false" ht="15" hidden="false" customHeight="true" outlineLevel="0" collapsed="false">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24"/>
      <c r="BB103" s="24"/>
      <c r="BC103" s="24"/>
      <c r="BD103" s="24"/>
      <c r="BE103" s="24"/>
      <c r="BF103" s="24"/>
      <c r="BG103" s="24"/>
      <c r="BH103" s="24"/>
      <c r="BI103" s="24"/>
      <c r="BJ103" s="24"/>
      <c r="BK103" s="24"/>
      <c r="BL103" s="24"/>
      <c r="BM103" s="24"/>
      <c r="BN103" s="24"/>
      <c r="BO103" s="24"/>
      <c r="BP103" s="24"/>
      <c r="BQ103" s="24"/>
    </row>
    <row r="104" customFormat="false" ht="15" hidden="false" customHeight="true" outlineLevel="0" collapsed="false">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24"/>
      <c r="BB104" s="24"/>
      <c r="BC104" s="24"/>
      <c r="BD104" s="24"/>
      <c r="BE104" s="24"/>
      <c r="BF104" s="24"/>
      <c r="BG104" s="24"/>
      <c r="BH104" s="24"/>
      <c r="BI104" s="24"/>
      <c r="BJ104" s="24"/>
      <c r="BK104" s="24"/>
      <c r="BL104" s="24"/>
      <c r="BM104" s="24"/>
      <c r="BN104" s="24"/>
      <c r="BO104" s="24"/>
      <c r="BP104" s="24"/>
      <c r="BQ104" s="24"/>
    </row>
    <row r="105" customFormat="false" ht="15" hidden="false" customHeight="true" outlineLevel="0" collapsed="false">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24"/>
      <c r="BB105" s="24"/>
      <c r="BC105" s="24"/>
      <c r="BD105" s="24"/>
      <c r="BE105" s="24"/>
      <c r="BF105" s="24"/>
      <c r="BG105" s="24"/>
      <c r="BH105" s="24"/>
      <c r="BI105" s="24"/>
      <c r="BJ105" s="24"/>
      <c r="BK105" s="24"/>
      <c r="BL105" s="24"/>
      <c r="BM105" s="24"/>
      <c r="BN105" s="24"/>
      <c r="BO105" s="24"/>
      <c r="BP105" s="24"/>
      <c r="BQ105" s="24"/>
    </row>
    <row r="106" customFormat="false" ht="15" hidden="false" customHeight="true" outlineLevel="0" collapsed="false">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24"/>
      <c r="BB106" s="24"/>
      <c r="BC106" s="24"/>
      <c r="BD106" s="24"/>
      <c r="BE106" s="24"/>
      <c r="BF106" s="24"/>
      <c r="BG106" s="24"/>
      <c r="BH106" s="24"/>
      <c r="BI106" s="24"/>
      <c r="BJ106" s="24"/>
      <c r="BK106" s="24"/>
      <c r="BL106" s="24"/>
      <c r="BM106" s="24"/>
      <c r="BN106" s="24"/>
      <c r="BO106" s="24"/>
      <c r="BP106" s="24"/>
      <c r="BQ106" s="24"/>
    </row>
    <row r="107" customFormat="false" ht="15" hidden="false" customHeight="true" outlineLevel="0" collapsed="false">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24"/>
      <c r="BB107" s="24"/>
      <c r="BC107" s="24"/>
      <c r="BD107" s="24"/>
      <c r="BE107" s="24"/>
      <c r="BF107" s="24"/>
      <c r="BG107" s="24"/>
      <c r="BH107" s="24"/>
      <c r="BI107" s="24"/>
      <c r="BJ107" s="24"/>
      <c r="BK107" s="24"/>
      <c r="BL107" s="24"/>
      <c r="BM107" s="24"/>
      <c r="BN107" s="24"/>
      <c r="BO107" s="24"/>
      <c r="BP107" s="24"/>
      <c r="BQ107" s="24"/>
    </row>
    <row r="108" customFormat="false" ht="15" hidden="false" customHeight="true" outlineLevel="0" collapsed="false">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24"/>
      <c r="BB108" s="24"/>
      <c r="BC108" s="24"/>
      <c r="BD108" s="24"/>
      <c r="BE108" s="24"/>
      <c r="BF108" s="24"/>
      <c r="BG108" s="24"/>
      <c r="BH108" s="24"/>
      <c r="BI108" s="24"/>
      <c r="BJ108" s="24"/>
      <c r="BK108" s="24"/>
      <c r="BL108" s="24"/>
      <c r="BM108" s="24"/>
      <c r="BN108" s="24"/>
      <c r="BO108" s="24"/>
      <c r="BP108" s="24"/>
      <c r="BQ108" s="24"/>
    </row>
    <row r="109" customFormat="false" ht="15" hidden="false" customHeight="true" outlineLevel="0" collapsed="false">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24"/>
      <c r="BB109" s="24"/>
      <c r="BC109" s="24"/>
      <c r="BD109" s="24"/>
      <c r="BE109" s="24"/>
      <c r="BF109" s="24"/>
      <c r="BG109" s="24"/>
      <c r="BH109" s="24"/>
      <c r="BI109" s="24"/>
      <c r="BJ109" s="24"/>
      <c r="BK109" s="24"/>
      <c r="BL109" s="24"/>
      <c r="BM109" s="24"/>
      <c r="BN109" s="24"/>
      <c r="BO109" s="24"/>
      <c r="BP109" s="24"/>
      <c r="BQ109" s="24"/>
    </row>
    <row r="110" customFormat="false" ht="15" hidden="false" customHeight="true" outlineLevel="0" collapsed="false">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24"/>
      <c r="BB110" s="24"/>
      <c r="BC110" s="24"/>
      <c r="BD110" s="24"/>
      <c r="BE110" s="24"/>
      <c r="BF110" s="24"/>
      <c r="BG110" s="24"/>
      <c r="BH110" s="24"/>
      <c r="BI110" s="24"/>
      <c r="BJ110" s="24"/>
      <c r="BK110" s="24"/>
      <c r="BL110" s="24"/>
      <c r="BM110" s="24"/>
      <c r="BN110" s="24"/>
      <c r="BO110" s="24"/>
      <c r="BP110" s="24"/>
      <c r="BQ110" s="24"/>
    </row>
    <row r="111" customFormat="false" ht="15" hidden="false" customHeight="true" outlineLevel="0" collapsed="false">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24"/>
      <c r="BB111" s="24"/>
      <c r="BC111" s="24"/>
      <c r="BD111" s="24"/>
      <c r="BE111" s="24"/>
      <c r="BF111" s="24"/>
      <c r="BG111" s="24"/>
      <c r="BH111" s="24"/>
      <c r="BI111" s="24"/>
      <c r="BJ111" s="24"/>
      <c r="BK111" s="24"/>
      <c r="BL111" s="24"/>
      <c r="BM111" s="24"/>
      <c r="BN111" s="24"/>
      <c r="BO111" s="24"/>
      <c r="BP111" s="24"/>
      <c r="BQ111" s="24"/>
    </row>
    <row r="112" customFormat="false" ht="15" hidden="false" customHeight="true" outlineLevel="0" collapsed="false">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24"/>
      <c r="BB112" s="24"/>
      <c r="BC112" s="24"/>
      <c r="BD112" s="24"/>
      <c r="BE112" s="24"/>
      <c r="BF112" s="24"/>
      <c r="BG112" s="24"/>
      <c r="BH112" s="24"/>
      <c r="BI112" s="24"/>
      <c r="BJ112" s="24"/>
      <c r="BK112" s="24"/>
      <c r="BL112" s="24"/>
      <c r="BM112" s="24"/>
      <c r="BN112" s="24"/>
      <c r="BO112" s="24"/>
      <c r="BP112" s="24"/>
      <c r="BQ112" s="24"/>
    </row>
    <row r="113" customFormat="false" ht="15" hidden="false" customHeight="true" outlineLevel="0" collapsed="false">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24"/>
      <c r="BB113" s="24"/>
      <c r="BC113" s="24"/>
      <c r="BD113" s="24"/>
      <c r="BE113" s="24"/>
      <c r="BF113" s="24"/>
      <c r="BG113" s="24"/>
      <c r="BH113" s="24"/>
      <c r="BI113" s="24"/>
      <c r="BJ113" s="24"/>
      <c r="BK113" s="24"/>
      <c r="BL113" s="24"/>
      <c r="BM113" s="24"/>
      <c r="BN113" s="24"/>
      <c r="BO113" s="24"/>
      <c r="BP113" s="24"/>
      <c r="BQ113" s="24"/>
    </row>
    <row r="114" customFormat="false" ht="15" hidden="false" customHeight="true" outlineLevel="0" collapsed="false">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24"/>
      <c r="BB114" s="24"/>
      <c r="BC114" s="24"/>
      <c r="BD114" s="24"/>
      <c r="BE114" s="24"/>
      <c r="BF114" s="24"/>
      <c r="BG114" s="24"/>
      <c r="BH114" s="24"/>
      <c r="BI114" s="24"/>
      <c r="BJ114" s="24"/>
      <c r="BK114" s="24"/>
      <c r="BL114" s="24"/>
      <c r="BM114" s="24"/>
      <c r="BN114" s="24"/>
      <c r="BO114" s="24"/>
      <c r="BP114" s="24"/>
      <c r="BQ114" s="24"/>
    </row>
    <row r="115" customFormat="false" ht="15" hidden="false" customHeight="true" outlineLevel="0" collapsed="false">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24"/>
      <c r="BB115" s="24"/>
      <c r="BC115" s="24"/>
      <c r="BD115" s="24"/>
      <c r="BE115" s="24"/>
      <c r="BF115" s="24"/>
      <c r="BG115" s="24"/>
      <c r="BH115" s="24"/>
      <c r="BI115" s="24"/>
      <c r="BJ115" s="24"/>
      <c r="BK115" s="24"/>
      <c r="BL115" s="24"/>
      <c r="BM115" s="24"/>
      <c r="BN115" s="24"/>
      <c r="BO115" s="24"/>
      <c r="BP115" s="24"/>
      <c r="BQ115" s="24"/>
    </row>
    <row r="116" customFormat="false" ht="15" hidden="false" customHeight="true" outlineLevel="0" collapsed="false">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24"/>
      <c r="BB116" s="24"/>
      <c r="BC116" s="24"/>
      <c r="BD116" s="24"/>
      <c r="BE116" s="24"/>
      <c r="BF116" s="24"/>
      <c r="BG116" s="24"/>
      <c r="BH116" s="24"/>
      <c r="BI116" s="24"/>
      <c r="BJ116" s="24"/>
      <c r="BK116" s="24"/>
      <c r="BL116" s="24"/>
      <c r="BM116" s="24"/>
      <c r="BN116" s="24"/>
      <c r="BO116" s="24"/>
      <c r="BP116" s="24"/>
      <c r="BQ116" s="24"/>
    </row>
    <row r="117" customFormat="false" ht="15" hidden="false" customHeight="true" outlineLevel="0" collapsed="false">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24"/>
      <c r="BB117" s="24"/>
      <c r="BC117" s="24"/>
      <c r="BD117" s="24"/>
      <c r="BE117" s="24"/>
      <c r="BF117" s="24"/>
      <c r="BG117" s="24"/>
      <c r="BH117" s="24"/>
      <c r="BI117" s="24"/>
      <c r="BJ117" s="24"/>
      <c r="BK117" s="24"/>
      <c r="BL117" s="24"/>
      <c r="BM117" s="24"/>
      <c r="BN117" s="24"/>
      <c r="BO117" s="24"/>
      <c r="BP117" s="24"/>
      <c r="BQ117" s="24"/>
    </row>
    <row r="118" customFormat="false" ht="15" hidden="false" customHeight="true" outlineLevel="0" collapsed="false">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24"/>
      <c r="BB118" s="24"/>
      <c r="BC118" s="24"/>
      <c r="BD118" s="24"/>
      <c r="BE118" s="24"/>
      <c r="BF118" s="24"/>
      <c r="BG118" s="24"/>
      <c r="BH118" s="24"/>
      <c r="BI118" s="24"/>
      <c r="BJ118" s="24"/>
      <c r="BK118" s="24"/>
      <c r="BL118" s="24"/>
      <c r="BM118" s="24"/>
      <c r="BN118" s="24"/>
      <c r="BO118" s="24"/>
      <c r="BP118" s="24"/>
      <c r="BQ118" s="24"/>
    </row>
    <row r="119" customFormat="false" ht="15" hidden="false" customHeight="true" outlineLevel="0" collapsed="false">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24"/>
      <c r="BB119" s="24"/>
      <c r="BC119" s="24"/>
      <c r="BD119" s="24"/>
      <c r="BE119" s="24"/>
      <c r="BF119" s="24"/>
      <c r="BG119" s="24"/>
      <c r="BH119" s="24"/>
      <c r="BI119" s="24"/>
      <c r="BJ119" s="24"/>
      <c r="BK119" s="24"/>
      <c r="BL119" s="24"/>
      <c r="BM119" s="24"/>
      <c r="BN119" s="24"/>
      <c r="BO119" s="24"/>
      <c r="BP119" s="24"/>
      <c r="BQ119" s="24"/>
    </row>
    <row r="120" customFormat="false" ht="15" hidden="false" customHeight="true" outlineLevel="0" collapsed="false">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24"/>
      <c r="BB120" s="24"/>
      <c r="BC120" s="24"/>
      <c r="BD120" s="24"/>
      <c r="BE120" s="24"/>
      <c r="BF120" s="24"/>
      <c r="BG120" s="24"/>
      <c r="BH120" s="24"/>
      <c r="BI120" s="24"/>
      <c r="BJ120" s="24"/>
      <c r="BK120" s="24"/>
      <c r="BL120" s="24"/>
      <c r="BM120" s="24"/>
      <c r="BN120" s="24"/>
      <c r="BO120" s="24"/>
      <c r="BP120" s="24"/>
      <c r="BQ120" s="24"/>
    </row>
    <row r="121" customFormat="false" ht="15" hidden="false" customHeight="true" outlineLevel="0" collapsed="false">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24"/>
      <c r="BB121" s="24"/>
      <c r="BC121" s="24"/>
      <c r="BD121" s="24"/>
      <c r="BE121" s="24"/>
      <c r="BF121" s="24"/>
      <c r="BG121" s="24"/>
      <c r="BH121" s="24"/>
      <c r="BI121" s="24"/>
      <c r="BJ121" s="24"/>
      <c r="BK121" s="24"/>
      <c r="BL121" s="24"/>
      <c r="BM121" s="24"/>
      <c r="BN121" s="24"/>
      <c r="BO121" s="24"/>
      <c r="BP121" s="24"/>
      <c r="BQ121" s="24"/>
    </row>
    <row r="122" customFormat="false" ht="15" hidden="false" customHeight="true" outlineLevel="0" collapsed="false">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24"/>
      <c r="BB122" s="24"/>
      <c r="BC122" s="24"/>
      <c r="BD122" s="24"/>
      <c r="BE122" s="24"/>
      <c r="BF122" s="24"/>
      <c r="BG122" s="24"/>
      <c r="BH122" s="24"/>
      <c r="BI122" s="24"/>
      <c r="BJ122" s="24"/>
      <c r="BK122" s="24"/>
      <c r="BL122" s="24"/>
      <c r="BM122" s="24"/>
      <c r="BN122" s="24"/>
      <c r="BO122" s="24"/>
      <c r="BP122" s="24"/>
      <c r="BQ122" s="24"/>
    </row>
    <row r="123" customFormat="false" ht="15" hidden="false" customHeight="true" outlineLevel="0" collapsed="false">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24"/>
      <c r="BB123" s="24"/>
      <c r="BC123" s="24"/>
      <c r="BD123" s="24"/>
      <c r="BE123" s="24"/>
      <c r="BF123" s="24"/>
      <c r="BG123" s="24"/>
      <c r="BH123" s="24"/>
      <c r="BI123" s="24"/>
      <c r="BJ123" s="24"/>
      <c r="BK123" s="24"/>
      <c r="BL123" s="24"/>
      <c r="BM123" s="24"/>
      <c r="BN123" s="24"/>
      <c r="BO123" s="24"/>
      <c r="BP123" s="24"/>
      <c r="BQ123" s="24"/>
    </row>
    <row r="124" customFormat="false" ht="15" hidden="false" customHeight="true" outlineLevel="0" collapsed="false">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24"/>
      <c r="BB124" s="24"/>
      <c r="BC124" s="24"/>
      <c r="BD124" s="24"/>
      <c r="BE124" s="24"/>
      <c r="BF124" s="24"/>
      <c r="BG124" s="24"/>
      <c r="BH124" s="24"/>
      <c r="BI124" s="24"/>
      <c r="BJ124" s="24"/>
      <c r="BK124" s="24"/>
      <c r="BL124" s="24"/>
      <c r="BM124" s="24"/>
      <c r="BN124" s="24"/>
      <c r="BO124" s="24"/>
      <c r="BP124" s="24"/>
      <c r="BQ124" s="24"/>
    </row>
    <row r="125" customFormat="false" ht="15" hidden="false" customHeight="true" outlineLevel="0" collapsed="false">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24"/>
      <c r="BB125" s="24"/>
      <c r="BC125" s="24"/>
      <c r="BD125" s="24"/>
      <c r="BE125" s="24"/>
      <c r="BF125" s="24"/>
      <c r="BG125" s="24"/>
      <c r="BH125" s="24"/>
      <c r="BI125" s="24"/>
      <c r="BJ125" s="24"/>
      <c r="BK125" s="24"/>
      <c r="BL125" s="24"/>
      <c r="BM125" s="24"/>
      <c r="BN125" s="24"/>
      <c r="BO125" s="24"/>
      <c r="BP125" s="24"/>
      <c r="BQ125" s="24"/>
    </row>
    <row r="126" customFormat="false" ht="15" hidden="false" customHeight="true" outlineLevel="0" collapsed="false">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24"/>
      <c r="BB126" s="24"/>
      <c r="BC126" s="24"/>
      <c r="BD126" s="24"/>
      <c r="BE126" s="24"/>
      <c r="BF126" s="24"/>
      <c r="BG126" s="24"/>
      <c r="BH126" s="24"/>
      <c r="BI126" s="24"/>
      <c r="BJ126" s="24"/>
      <c r="BK126" s="24"/>
      <c r="BL126" s="24"/>
      <c r="BM126" s="24"/>
      <c r="BN126" s="24"/>
      <c r="BO126" s="24"/>
      <c r="BP126" s="24"/>
      <c r="BQ126" s="24"/>
    </row>
    <row r="127" customFormat="false" ht="15" hidden="false" customHeight="true" outlineLevel="0" collapsed="false">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24"/>
      <c r="BB127" s="24"/>
      <c r="BC127" s="24"/>
      <c r="BD127" s="24"/>
      <c r="BE127" s="24"/>
      <c r="BF127" s="24"/>
      <c r="BG127" s="24"/>
      <c r="BH127" s="24"/>
      <c r="BI127" s="24"/>
      <c r="BJ127" s="24"/>
      <c r="BK127" s="24"/>
      <c r="BL127" s="24"/>
      <c r="BM127" s="24"/>
      <c r="BN127" s="24"/>
      <c r="BO127" s="24"/>
      <c r="BP127" s="24"/>
      <c r="BQ127" s="24"/>
    </row>
    <row r="128" customFormat="false" ht="15" hidden="false" customHeight="true" outlineLevel="0" collapsed="false">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24"/>
      <c r="BB128" s="24"/>
      <c r="BC128" s="24"/>
      <c r="BD128" s="24"/>
      <c r="BE128" s="24"/>
      <c r="BF128" s="24"/>
      <c r="BG128" s="24"/>
      <c r="BH128" s="24"/>
      <c r="BI128" s="24"/>
      <c r="BJ128" s="24"/>
      <c r="BK128" s="24"/>
      <c r="BL128" s="24"/>
      <c r="BM128" s="24"/>
      <c r="BN128" s="24"/>
      <c r="BO128" s="24"/>
      <c r="BP128" s="24"/>
      <c r="BQ128" s="24"/>
    </row>
    <row r="129" customFormat="false" ht="15" hidden="false" customHeight="true" outlineLevel="0" collapsed="false">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24"/>
      <c r="BB129" s="24"/>
      <c r="BC129" s="24"/>
      <c r="BD129" s="24"/>
      <c r="BE129" s="24"/>
      <c r="BF129" s="24"/>
      <c r="BG129" s="24"/>
      <c r="BH129" s="24"/>
      <c r="BI129" s="24"/>
      <c r="BJ129" s="24"/>
      <c r="BK129" s="24"/>
      <c r="BL129" s="24"/>
      <c r="BM129" s="24"/>
      <c r="BN129" s="24"/>
      <c r="BO129" s="24"/>
      <c r="BP129" s="24"/>
      <c r="BQ129" s="24"/>
    </row>
    <row r="130" customFormat="false" ht="15" hidden="false" customHeight="true" outlineLevel="0" collapsed="false">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24"/>
      <c r="BB130" s="24"/>
      <c r="BC130" s="24"/>
      <c r="BD130" s="24"/>
      <c r="BE130" s="24"/>
      <c r="BF130" s="24"/>
      <c r="BG130" s="24"/>
      <c r="BH130" s="24"/>
      <c r="BI130" s="24"/>
      <c r="BJ130" s="24"/>
      <c r="BK130" s="24"/>
      <c r="BL130" s="24"/>
      <c r="BM130" s="24"/>
      <c r="BN130" s="24"/>
      <c r="BO130" s="24"/>
      <c r="BP130" s="24"/>
      <c r="BQ130" s="24"/>
    </row>
    <row r="131" customFormat="false" ht="15" hidden="false" customHeight="true" outlineLevel="0" collapsed="false">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24"/>
      <c r="BB131" s="24"/>
      <c r="BC131" s="24"/>
      <c r="BD131" s="24"/>
      <c r="BE131" s="24"/>
      <c r="BF131" s="24"/>
      <c r="BG131" s="24"/>
      <c r="BH131" s="24"/>
      <c r="BI131" s="24"/>
      <c r="BJ131" s="24"/>
      <c r="BK131" s="24"/>
      <c r="BL131" s="24"/>
      <c r="BM131" s="24"/>
      <c r="BN131" s="24"/>
      <c r="BO131" s="24"/>
      <c r="BP131" s="24"/>
      <c r="BQ131" s="24"/>
    </row>
    <row r="132" customFormat="false" ht="15" hidden="false" customHeight="true" outlineLevel="0" collapsed="false">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24"/>
      <c r="BB132" s="24"/>
      <c r="BC132" s="24"/>
      <c r="BD132" s="24"/>
      <c r="BE132" s="24"/>
      <c r="BF132" s="24"/>
      <c r="BG132" s="24"/>
      <c r="BH132" s="24"/>
      <c r="BI132" s="24"/>
      <c r="BJ132" s="24"/>
      <c r="BK132" s="24"/>
      <c r="BL132" s="24"/>
      <c r="BM132" s="24"/>
      <c r="BN132" s="24"/>
      <c r="BO132" s="24"/>
      <c r="BP132" s="24"/>
      <c r="BQ132" s="24"/>
    </row>
    <row r="133" customFormat="false" ht="15" hidden="false" customHeight="true" outlineLevel="0" collapsed="false">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24"/>
      <c r="BB133" s="24"/>
      <c r="BC133" s="24"/>
      <c r="BD133" s="24"/>
      <c r="BE133" s="24"/>
      <c r="BF133" s="24"/>
      <c r="BG133" s="24"/>
      <c r="BH133" s="24"/>
      <c r="BI133" s="24"/>
      <c r="BJ133" s="24"/>
      <c r="BK133" s="24"/>
      <c r="BL133" s="24"/>
      <c r="BM133" s="24"/>
      <c r="BN133" s="24"/>
      <c r="BO133" s="24"/>
      <c r="BP133" s="24"/>
      <c r="BQ133" s="24"/>
    </row>
    <row r="134" customFormat="false" ht="15" hidden="false" customHeight="true" outlineLevel="0" collapsed="false">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24"/>
      <c r="BB134" s="24"/>
      <c r="BC134" s="24"/>
      <c r="BD134" s="24"/>
      <c r="BE134" s="24"/>
      <c r="BF134" s="24"/>
      <c r="BG134" s="24"/>
      <c r="BH134" s="24"/>
      <c r="BI134" s="24"/>
      <c r="BJ134" s="24"/>
      <c r="BK134" s="24"/>
      <c r="BL134" s="24"/>
      <c r="BM134" s="24"/>
      <c r="BN134" s="24"/>
      <c r="BO134" s="24"/>
      <c r="BP134" s="24"/>
      <c r="BQ134" s="24"/>
    </row>
    <row r="135" customFormat="false" ht="15" hidden="false" customHeight="true" outlineLevel="0" collapsed="false">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24"/>
      <c r="BB135" s="24"/>
      <c r="BC135" s="24"/>
      <c r="BD135" s="24"/>
      <c r="BE135" s="24"/>
      <c r="BF135" s="24"/>
      <c r="BG135" s="24"/>
      <c r="BH135" s="24"/>
      <c r="BI135" s="24"/>
      <c r="BJ135" s="24"/>
      <c r="BK135" s="24"/>
      <c r="BL135" s="24"/>
      <c r="BM135" s="24"/>
      <c r="BN135" s="24"/>
      <c r="BO135" s="24"/>
      <c r="BP135" s="24"/>
      <c r="BQ135" s="24"/>
    </row>
    <row r="136" customFormat="false" ht="15" hidden="false" customHeight="true" outlineLevel="0" collapsed="false">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24"/>
      <c r="BB136" s="24"/>
      <c r="BC136" s="24"/>
      <c r="BD136" s="24"/>
      <c r="BE136" s="24"/>
      <c r="BF136" s="24"/>
      <c r="BG136" s="24"/>
      <c r="BH136" s="24"/>
      <c r="BI136" s="24"/>
      <c r="BJ136" s="24"/>
      <c r="BK136" s="24"/>
      <c r="BL136" s="24"/>
      <c r="BM136" s="24"/>
      <c r="BN136" s="24"/>
      <c r="BO136" s="24"/>
      <c r="BP136" s="24"/>
      <c r="BQ136" s="24"/>
    </row>
    <row r="137" customFormat="false" ht="15" hidden="false" customHeight="true" outlineLevel="0" collapsed="false">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24"/>
      <c r="BB137" s="24"/>
      <c r="BC137" s="24"/>
      <c r="BD137" s="24"/>
      <c r="BE137" s="24"/>
      <c r="BF137" s="24"/>
      <c r="BG137" s="24"/>
      <c r="BH137" s="24"/>
      <c r="BI137" s="24"/>
      <c r="BJ137" s="24"/>
      <c r="BK137" s="24"/>
      <c r="BL137" s="24"/>
      <c r="BM137" s="24"/>
      <c r="BN137" s="24"/>
      <c r="BO137" s="24"/>
      <c r="BP137" s="24"/>
      <c r="BQ137" s="24"/>
    </row>
    <row r="138" customFormat="false" ht="15" hidden="false" customHeight="true" outlineLevel="0" collapsed="false">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24"/>
      <c r="BB138" s="24"/>
      <c r="BC138" s="24"/>
      <c r="BD138" s="24"/>
      <c r="BE138" s="24"/>
      <c r="BF138" s="24"/>
      <c r="BG138" s="24"/>
      <c r="BH138" s="24"/>
      <c r="BI138" s="24"/>
      <c r="BJ138" s="24"/>
      <c r="BK138" s="24"/>
      <c r="BL138" s="24"/>
      <c r="BM138" s="24"/>
      <c r="BN138" s="24"/>
      <c r="BO138" s="24"/>
      <c r="BP138" s="24"/>
      <c r="BQ138" s="24"/>
    </row>
    <row r="139" customFormat="false" ht="15" hidden="false" customHeight="true" outlineLevel="0" collapsed="false">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24"/>
      <c r="BB139" s="24"/>
      <c r="BC139" s="24"/>
      <c r="BD139" s="24"/>
      <c r="BE139" s="24"/>
      <c r="BF139" s="24"/>
      <c r="BG139" s="24"/>
      <c r="BH139" s="24"/>
      <c r="BI139" s="24"/>
      <c r="BJ139" s="24"/>
      <c r="BK139" s="24"/>
      <c r="BL139" s="24"/>
      <c r="BM139" s="24"/>
      <c r="BN139" s="24"/>
      <c r="BO139" s="24"/>
      <c r="BP139" s="24"/>
      <c r="BQ139" s="24"/>
    </row>
    <row r="140" customFormat="false" ht="15" hidden="false" customHeight="true" outlineLevel="0" collapsed="false">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24"/>
      <c r="BB140" s="24"/>
      <c r="BC140" s="24"/>
      <c r="BD140" s="24"/>
      <c r="BE140" s="24"/>
      <c r="BF140" s="24"/>
      <c r="BG140" s="24"/>
      <c r="BH140" s="24"/>
      <c r="BI140" s="24"/>
      <c r="BJ140" s="24"/>
      <c r="BK140" s="24"/>
      <c r="BL140" s="24"/>
      <c r="BM140" s="24"/>
      <c r="BN140" s="24"/>
      <c r="BO140" s="24"/>
      <c r="BP140" s="24"/>
      <c r="BQ140" s="24"/>
    </row>
    <row r="141" customFormat="false" ht="15" hidden="false" customHeight="true" outlineLevel="0" collapsed="false">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24"/>
      <c r="BB141" s="24"/>
      <c r="BC141" s="24"/>
      <c r="BD141" s="24"/>
      <c r="BE141" s="24"/>
      <c r="BF141" s="24"/>
      <c r="BG141" s="24"/>
      <c r="BH141" s="24"/>
      <c r="BI141" s="24"/>
      <c r="BJ141" s="24"/>
      <c r="BK141" s="24"/>
      <c r="BL141" s="24"/>
      <c r="BM141" s="24"/>
      <c r="BN141" s="24"/>
      <c r="BO141" s="24"/>
      <c r="BP141" s="24"/>
      <c r="BQ141" s="24"/>
    </row>
    <row r="142" customFormat="false" ht="15" hidden="false" customHeight="true" outlineLevel="0" collapsed="false">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24"/>
      <c r="BB142" s="24"/>
      <c r="BC142" s="24"/>
      <c r="BD142" s="24"/>
      <c r="BE142" s="24"/>
      <c r="BF142" s="24"/>
      <c r="BG142" s="24"/>
      <c r="BH142" s="24"/>
      <c r="BI142" s="24"/>
      <c r="BJ142" s="24"/>
      <c r="BK142" s="24"/>
      <c r="BL142" s="24"/>
      <c r="BM142" s="24"/>
      <c r="BN142" s="24"/>
      <c r="BO142" s="24"/>
      <c r="BP142" s="24"/>
      <c r="BQ142" s="24"/>
    </row>
    <row r="143" customFormat="false" ht="15" hidden="false" customHeight="true" outlineLevel="0" collapsed="false">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24"/>
      <c r="BB143" s="24"/>
      <c r="BC143" s="24"/>
      <c r="BD143" s="24"/>
      <c r="BE143" s="24"/>
      <c r="BF143" s="24"/>
      <c r="BG143" s="24"/>
      <c r="BH143" s="24"/>
      <c r="BI143" s="24"/>
      <c r="BJ143" s="24"/>
      <c r="BK143" s="24"/>
      <c r="BL143" s="24"/>
      <c r="BM143" s="24"/>
      <c r="BN143" s="24"/>
      <c r="BO143" s="24"/>
      <c r="BP143" s="24"/>
      <c r="BQ143" s="24"/>
    </row>
    <row r="144" customFormat="false" ht="15" hidden="false" customHeight="true" outlineLevel="0" collapsed="false">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24"/>
      <c r="BB144" s="24"/>
      <c r="BC144" s="24"/>
      <c r="BD144" s="24"/>
      <c r="BE144" s="24"/>
      <c r="BF144" s="24"/>
      <c r="BG144" s="24"/>
      <c r="BH144" s="24"/>
      <c r="BI144" s="24"/>
      <c r="BJ144" s="24"/>
      <c r="BK144" s="24"/>
      <c r="BL144" s="24"/>
      <c r="BM144" s="24"/>
      <c r="BN144" s="24"/>
      <c r="BO144" s="24"/>
      <c r="BP144" s="24"/>
      <c r="BQ144" s="24"/>
    </row>
    <row r="145" customFormat="false" ht="15" hidden="false" customHeight="true" outlineLevel="0" collapsed="false">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24"/>
      <c r="BB145" s="24"/>
      <c r="BC145" s="24"/>
      <c r="BD145" s="24"/>
      <c r="BE145" s="24"/>
      <c r="BF145" s="24"/>
      <c r="BG145" s="24"/>
      <c r="BH145" s="24"/>
      <c r="BI145" s="24"/>
      <c r="BJ145" s="24"/>
      <c r="BK145" s="24"/>
      <c r="BL145" s="24"/>
      <c r="BM145" s="24"/>
      <c r="BN145" s="24"/>
      <c r="BO145" s="24"/>
      <c r="BP145" s="24"/>
      <c r="BQ145" s="24"/>
    </row>
    <row r="146" customFormat="false" ht="15" hidden="false" customHeight="true" outlineLevel="0" collapsed="false">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24"/>
      <c r="BB146" s="24"/>
      <c r="BC146" s="24"/>
      <c r="BD146" s="24"/>
      <c r="BE146" s="24"/>
      <c r="BF146" s="24"/>
      <c r="BG146" s="24"/>
      <c r="BH146" s="24"/>
      <c r="BI146" s="24"/>
      <c r="BJ146" s="24"/>
      <c r="BK146" s="24"/>
      <c r="BL146" s="24"/>
      <c r="BM146" s="24"/>
      <c r="BN146" s="24"/>
      <c r="BO146" s="24"/>
      <c r="BP146" s="24"/>
      <c r="BQ146" s="24"/>
    </row>
    <row r="147" customFormat="false" ht="15" hidden="false" customHeight="true" outlineLevel="0" collapsed="false">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24"/>
      <c r="BB147" s="24"/>
      <c r="BC147" s="24"/>
      <c r="BD147" s="24"/>
      <c r="BE147" s="24"/>
      <c r="BF147" s="24"/>
      <c r="BG147" s="24"/>
      <c r="BH147" s="24"/>
      <c r="BI147" s="24"/>
      <c r="BJ147" s="24"/>
      <c r="BK147" s="24"/>
      <c r="BL147" s="24"/>
      <c r="BM147" s="24"/>
      <c r="BN147" s="24"/>
      <c r="BO147" s="24"/>
      <c r="BP147" s="24"/>
      <c r="BQ147" s="24"/>
    </row>
    <row r="148" customFormat="false" ht="15" hidden="false" customHeight="true" outlineLevel="0" collapsed="false">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24"/>
      <c r="BB148" s="24"/>
      <c r="BC148" s="24"/>
      <c r="BD148" s="24"/>
      <c r="BE148" s="24"/>
      <c r="BF148" s="24"/>
      <c r="BG148" s="24"/>
      <c r="BH148" s="24"/>
      <c r="BI148" s="24"/>
      <c r="BJ148" s="24"/>
      <c r="BK148" s="24"/>
      <c r="BL148" s="24"/>
      <c r="BM148" s="24"/>
      <c r="BN148" s="24"/>
      <c r="BO148" s="24"/>
      <c r="BP148" s="24"/>
      <c r="BQ148" s="24"/>
    </row>
    <row r="149" customFormat="false" ht="15" hidden="false" customHeight="true" outlineLevel="0" collapsed="false">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24"/>
      <c r="BB149" s="24"/>
      <c r="BC149" s="24"/>
      <c r="BD149" s="24"/>
      <c r="BE149" s="24"/>
      <c r="BF149" s="24"/>
      <c r="BG149" s="24"/>
      <c r="BH149" s="24"/>
      <c r="BI149" s="24"/>
      <c r="BJ149" s="24"/>
      <c r="BK149" s="24"/>
      <c r="BL149" s="24"/>
      <c r="BM149" s="24"/>
      <c r="BN149" s="24"/>
      <c r="BO149" s="24"/>
      <c r="BP149" s="24"/>
      <c r="BQ149" s="24"/>
    </row>
    <row r="150" customFormat="false" ht="15" hidden="false" customHeight="true" outlineLevel="0" collapsed="false">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24"/>
      <c r="BB150" s="24"/>
      <c r="BC150" s="24"/>
      <c r="BD150" s="24"/>
      <c r="BE150" s="24"/>
      <c r="BF150" s="24"/>
      <c r="BG150" s="24"/>
      <c r="BH150" s="24"/>
      <c r="BI150" s="24"/>
      <c r="BJ150" s="24"/>
      <c r="BK150" s="24"/>
      <c r="BL150" s="24"/>
      <c r="BM150" s="24"/>
      <c r="BN150" s="24"/>
      <c r="BO150" s="24"/>
      <c r="BP150" s="24"/>
      <c r="BQ150" s="24"/>
    </row>
    <row r="151" customFormat="false" ht="15" hidden="false" customHeight="true" outlineLevel="0" collapsed="false">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24"/>
      <c r="BB151" s="24"/>
      <c r="BC151" s="24"/>
      <c r="BD151" s="24"/>
      <c r="BE151" s="24"/>
      <c r="BF151" s="24"/>
      <c r="BG151" s="24"/>
      <c r="BH151" s="24"/>
      <c r="BI151" s="24"/>
      <c r="BJ151" s="24"/>
      <c r="BK151" s="24"/>
      <c r="BL151" s="24"/>
      <c r="BM151" s="24"/>
      <c r="BN151" s="24"/>
      <c r="BO151" s="24"/>
      <c r="BP151" s="24"/>
      <c r="BQ151" s="24"/>
    </row>
    <row r="152" customFormat="false" ht="15" hidden="false" customHeight="true" outlineLevel="0" collapsed="false">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24"/>
      <c r="BB152" s="24"/>
      <c r="BC152" s="24"/>
      <c r="BD152" s="24"/>
      <c r="BE152" s="24"/>
      <c r="BF152" s="24"/>
      <c r="BG152" s="24"/>
      <c r="BH152" s="24"/>
      <c r="BI152" s="24"/>
      <c r="BJ152" s="24"/>
      <c r="BK152" s="24"/>
      <c r="BL152" s="24"/>
      <c r="BM152" s="24"/>
      <c r="BN152" s="24"/>
      <c r="BO152" s="24"/>
      <c r="BP152" s="24"/>
      <c r="BQ152" s="24"/>
    </row>
    <row r="153" customFormat="false" ht="15" hidden="false" customHeight="true" outlineLevel="0" collapsed="false">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24"/>
      <c r="BB153" s="24"/>
      <c r="BC153" s="24"/>
      <c r="BD153" s="24"/>
      <c r="BE153" s="24"/>
      <c r="BF153" s="24"/>
      <c r="BG153" s="24"/>
      <c r="BH153" s="24"/>
      <c r="BI153" s="24"/>
      <c r="BJ153" s="24"/>
      <c r="BK153" s="24"/>
      <c r="BL153" s="24"/>
      <c r="BM153" s="24"/>
      <c r="BN153" s="24"/>
      <c r="BO153" s="24"/>
      <c r="BP153" s="24"/>
      <c r="BQ153" s="24"/>
    </row>
    <row r="154" customFormat="false" ht="15" hidden="false" customHeight="true" outlineLevel="0" collapsed="false">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24"/>
      <c r="BB154" s="24"/>
      <c r="BC154" s="24"/>
      <c r="BD154" s="24"/>
      <c r="BE154" s="24"/>
      <c r="BF154" s="24"/>
      <c r="BG154" s="24"/>
      <c r="BH154" s="24"/>
      <c r="BI154" s="24"/>
      <c r="BJ154" s="24"/>
      <c r="BK154" s="24"/>
      <c r="BL154" s="24"/>
      <c r="BM154" s="24"/>
      <c r="BN154" s="24"/>
      <c r="BO154" s="24"/>
      <c r="BP154" s="24"/>
      <c r="BQ154" s="24"/>
    </row>
    <row r="155" customFormat="false" ht="15" hidden="false" customHeight="true" outlineLevel="0" collapsed="false">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24"/>
      <c r="BB155" s="24"/>
      <c r="BC155" s="24"/>
      <c r="BD155" s="24"/>
      <c r="BE155" s="24"/>
      <c r="BF155" s="24"/>
      <c r="BG155" s="24"/>
      <c r="BH155" s="24"/>
      <c r="BI155" s="24"/>
      <c r="BJ155" s="24"/>
      <c r="BK155" s="24"/>
      <c r="BL155" s="24"/>
      <c r="BM155" s="24"/>
      <c r="BN155" s="24"/>
      <c r="BO155" s="24"/>
      <c r="BP155" s="24"/>
      <c r="BQ155" s="24"/>
    </row>
    <row r="156" customFormat="false" ht="15" hidden="false" customHeight="true" outlineLevel="0" collapsed="false">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24"/>
      <c r="BB156" s="24"/>
      <c r="BC156" s="24"/>
      <c r="BD156" s="24"/>
      <c r="BE156" s="24"/>
      <c r="BF156" s="24"/>
      <c r="BG156" s="24"/>
      <c r="BH156" s="24"/>
      <c r="BI156" s="24"/>
      <c r="BJ156" s="24"/>
      <c r="BK156" s="24"/>
      <c r="BL156" s="24"/>
      <c r="BM156" s="24"/>
      <c r="BN156" s="24"/>
      <c r="BO156" s="24"/>
      <c r="BP156" s="24"/>
      <c r="BQ156" s="24"/>
    </row>
    <row r="157" customFormat="false" ht="15" hidden="false" customHeight="true" outlineLevel="0" collapsed="false">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24"/>
      <c r="BB157" s="24"/>
      <c r="BC157" s="24"/>
      <c r="BD157" s="24"/>
      <c r="BE157" s="24"/>
      <c r="BF157" s="24"/>
      <c r="BG157" s="24"/>
      <c r="BH157" s="24"/>
      <c r="BI157" s="24"/>
      <c r="BJ157" s="24"/>
      <c r="BK157" s="24"/>
      <c r="BL157" s="24"/>
      <c r="BM157" s="24"/>
      <c r="BN157" s="24"/>
      <c r="BO157" s="24"/>
      <c r="BP157" s="24"/>
      <c r="BQ157" s="24"/>
    </row>
    <row r="158" customFormat="false" ht="15" hidden="false" customHeight="true" outlineLevel="0" collapsed="false">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24"/>
      <c r="BB158" s="24"/>
      <c r="BC158" s="24"/>
      <c r="BD158" s="24"/>
      <c r="BE158" s="24"/>
      <c r="BF158" s="24"/>
      <c r="BG158" s="24"/>
      <c r="BH158" s="24"/>
      <c r="BI158" s="24"/>
      <c r="BJ158" s="24"/>
      <c r="BK158" s="24"/>
      <c r="BL158" s="24"/>
      <c r="BM158" s="24"/>
      <c r="BN158" s="24"/>
      <c r="BO158" s="24"/>
      <c r="BP158" s="24"/>
      <c r="BQ158" s="24"/>
    </row>
    <row r="159" customFormat="false" ht="15" hidden="false" customHeight="true" outlineLevel="0" collapsed="false">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24"/>
      <c r="BB159" s="24"/>
      <c r="BC159" s="24"/>
      <c r="BD159" s="24"/>
      <c r="BE159" s="24"/>
      <c r="BF159" s="24"/>
      <c r="BG159" s="24"/>
      <c r="BH159" s="24"/>
      <c r="BI159" s="24"/>
      <c r="BJ159" s="24"/>
      <c r="BK159" s="24"/>
      <c r="BL159" s="24"/>
      <c r="BM159" s="24"/>
      <c r="BN159" s="24"/>
      <c r="BO159" s="24"/>
      <c r="BP159" s="24"/>
      <c r="BQ159" s="24"/>
    </row>
    <row r="160" customFormat="false" ht="15" hidden="false" customHeight="true" outlineLevel="0" collapsed="false">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24"/>
      <c r="BB160" s="24"/>
      <c r="BC160" s="24"/>
      <c r="BD160" s="24"/>
      <c r="BE160" s="24"/>
      <c r="BF160" s="24"/>
      <c r="BG160" s="24"/>
      <c r="BH160" s="24"/>
      <c r="BI160" s="24"/>
      <c r="BJ160" s="24"/>
      <c r="BK160" s="24"/>
      <c r="BL160" s="24"/>
      <c r="BM160" s="24"/>
      <c r="BN160" s="24"/>
      <c r="BO160" s="24"/>
      <c r="BP160" s="24"/>
      <c r="BQ160" s="24"/>
    </row>
    <row r="161" customFormat="false" ht="15" hidden="false" customHeight="true" outlineLevel="0" collapsed="false">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24"/>
      <c r="BB161" s="24"/>
      <c r="BC161" s="24"/>
      <c r="BD161" s="24"/>
      <c r="BE161" s="24"/>
      <c r="BF161" s="24"/>
      <c r="BG161" s="24"/>
      <c r="BH161" s="24"/>
      <c r="BI161" s="24"/>
      <c r="BJ161" s="24"/>
      <c r="BK161" s="24"/>
      <c r="BL161" s="24"/>
      <c r="BM161" s="24"/>
      <c r="BN161" s="24"/>
      <c r="BO161" s="24"/>
      <c r="BP161" s="24"/>
      <c r="BQ161" s="24"/>
    </row>
    <row r="162" customFormat="false" ht="15" hidden="false" customHeight="true" outlineLevel="0" collapsed="false">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24"/>
      <c r="BB162" s="24"/>
      <c r="BC162" s="24"/>
      <c r="BD162" s="24"/>
      <c r="BE162" s="24"/>
      <c r="BF162" s="24"/>
      <c r="BG162" s="24"/>
      <c r="BH162" s="24"/>
      <c r="BI162" s="24"/>
      <c r="BJ162" s="24"/>
      <c r="BK162" s="24"/>
      <c r="BL162" s="24"/>
      <c r="BM162" s="24"/>
      <c r="BN162" s="24"/>
      <c r="BO162" s="24"/>
      <c r="BP162" s="24"/>
      <c r="BQ162" s="24"/>
    </row>
    <row r="163" customFormat="false" ht="15" hidden="false" customHeight="true" outlineLevel="0" collapsed="false">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24"/>
      <c r="BB163" s="24"/>
      <c r="BC163" s="24"/>
      <c r="BD163" s="24"/>
      <c r="BE163" s="24"/>
      <c r="BF163" s="24"/>
      <c r="BG163" s="24"/>
      <c r="BH163" s="24"/>
      <c r="BI163" s="24"/>
      <c r="BJ163" s="24"/>
      <c r="BK163" s="24"/>
      <c r="BL163" s="24"/>
      <c r="BM163" s="24"/>
      <c r="BN163" s="24"/>
      <c r="BO163" s="24"/>
      <c r="BP163" s="24"/>
      <c r="BQ163" s="24"/>
    </row>
    <row r="164" customFormat="false" ht="15" hidden="false" customHeight="true" outlineLevel="0" collapsed="false">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24"/>
      <c r="BB164" s="24"/>
      <c r="BC164" s="24"/>
      <c r="BD164" s="24"/>
      <c r="BE164" s="24"/>
      <c r="BF164" s="24"/>
      <c r="BG164" s="24"/>
      <c r="BH164" s="24"/>
      <c r="BI164" s="24"/>
      <c r="BJ164" s="24"/>
      <c r="BK164" s="24"/>
      <c r="BL164" s="24"/>
      <c r="BM164" s="24"/>
      <c r="BN164" s="24"/>
      <c r="BO164" s="24"/>
      <c r="BP164" s="24"/>
      <c r="BQ164" s="24"/>
    </row>
    <row r="165" customFormat="false" ht="15" hidden="false" customHeight="true" outlineLevel="0" collapsed="false">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24"/>
      <c r="BB165" s="24"/>
      <c r="BC165" s="24"/>
      <c r="BD165" s="24"/>
      <c r="BE165" s="24"/>
      <c r="BF165" s="24"/>
      <c r="BG165" s="24"/>
      <c r="BH165" s="24"/>
      <c r="BI165" s="24"/>
      <c r="BJ165" s="24"/>
      <c r="BK165" s="24"/>
      <c r="BL165" s="24"/>
      <c r="BM165" s="24"/>
      <c r="BN165" s="24"/>
      <c r="BO165" s="24"/>
      <c r="BP165" s="24"/>
      <c r="BQ165" s="24"/>
    </row>
    <row r="166" customFormat="false" ht="15" hidden="false" customHeight="true" outlineLevel="0" collapsed="false">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24"/>
      <c r="BB166" s="24"/>
      <c r="BC166" s="24"/>
      <c r="BD166" s="24"/>
      <c r="BE166" s="24"/>
      <c r="BF166" s="24"/>
      <c r="BG166" s="24"/>
      <c r="BH166" s="24"/>
      <c r="BI166" s="24"/>
      <c r="BJ166" s="24"/>
      <c r="BK166" s="24"/>
      <c r="BL166" s="24"/>
      <c r="BM166" s="24"/>
      <c r="BN166" s="24"/>
      <c r="BO166" s="24"/>
      <c r="BP166" s="24"/>
      <c r="BQ166" s="24"/>
    </row>
    <row r="167" customFormat="false" ht="15" hidden="false" customHeight="true" outlineLevel="0" collapsed="false">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24"/>
      <c r="BB167" s="24"/>
      <c r="BC167" s="24"/>
      <c r="BD167" s="24"/>
      <c r="BE167" s="24"/>
      <c r="BF167" s="24"/>
      <c r="BG167" s="24"/>
      <c r="BH167" s="24"/>
      <c r="BI167" s="24"/>
      <c r="BJ167" s="24"/>
      <c r="BK167" s="24"/>
      <c r="BL167" s="24"/>
      <c r="BM167" s="24"/>
      <c r="BN167" s="24"/>
      <c r="BO167" s="24"/>
      <c r="BP167" s="24"/>
      <c r="BQ167" s="24"/>
    </row>
    <row r="168" customFormat="false" ht="15" hidden="false" customHeight="true" outlineLevel="0" collapsed="false">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24"/>
      <c r="BB168" s="24"/>
      <c r="BC168" s="24"/>
      <c r="BD168" s="24"/>
      <c r="BE168" s="24"/>
      <c r="BF168" s="24"/>
      <c r="BG168" s="24"/>
      <c r="BH168" s="24"/>
      <c r="BI168" s="24"/>
      <c r="BJ168" s="24"/>
      <c r="BK168" s="24"/>
      <c r="BL168" s="24"/>
      <c r="BM168" s="24"/>
      <c r="BN168" s="24"/>
      <c r="BO168" s="24"/>
      <c r="BP168" s="24"/>
      <c r="BQ168" s="24"/>
    </row>
    <row r="169" customFormat="false" ht="15" hidden="false" customHeight="true" outlineLevel="0" collapsed="false">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24"/>
      <c r="BB169" s="24"/>
      <c r="BC169" s="24"/>
      <c r="BD169" s="24"/>
      <c r="BE169" s="24"/>
      <c r="BF169" s="24"/>
      <c r="BG169" s="24"/>
      <c r="BH169" s="24"/>
      <c r="BI169" s="24"/>
      <c r="BJ169" s="24"/>
      <c r="BK169" s="24"/>
      <c r="BL169" s="24"/>
      <c r="BM169" s="24"/>
      <c r="BN169" s="24"/>
      <c r="BO169" s="24"/>
      <c r="BP169" s="24"/>
      <c r="BQ169" s="24"/>
    </row>
    <row r="170" customFormat="false" ht="15" hidden="false" customHeight="true" outlineLevel="0" collapsed="false">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24"/>
      <c r="BB170" s="24"/>
      <c r="BC170" s="24"/>
      <c r="BD170" s="24"/>
      <c r="BE170" s="24"/>
      <c r="BF170" s="24"/>
      <c r="BG170" s="24"/>
      <c r="BH170" s="24"/>
      <c r="BI170" s="24"/>
      <c r="BJ170" s="24"/>
      <c r="BK170" s="24"/>
      <c r="BL170" s="24"/>
      <c r="BM170" s="24"/>
      <c r="BN170" s="24"/>
      <c r="BO170" s="24"/>
      <c r="BP170" s="24"/>
      <c r="BQ170" s="24"/>
    </row>
    <row r="171" customFormat="false" ht="15" hidden="false" customHeight="true" outlineLevel="0" collapsed="false">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24"/>
      <c r="BB171" s="24"/>
      <c r="BC171" s="24"/>
      <c r="BD171" s="24"/>
      <c r="BE171" s="24"/>
      <c r="BF171" s="24"/>
      <c r="BG171" s="24"/>
      <c r="BH171" s="24"/>
      <c r="BI171" s="24"/>
      <c r="BJ171" s="24"/>
      <c r="BK171" s="24"/>
      <c r="BL171" s="24"/>
      <c r="BM171" s="24"/>
      <c r="BN171" s="24"/>
      <c r="BO171" s="24"/>
      <c r="BP171" s="24"/>
      <c r="BQ171" s="24"/>
    </row>
    <row r="172" customFormat="false" ht="15" hidden="false" customHeight="true" outlineLevel="0" collapsed="false">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24"/>
      <c r="BB172" s="24"/>
      <c r="BC172" s="24"/>
      <c r="BD172" s="24"/>
      <c r="BE172" s="24"/>
      <c r="BF172" s="24"/>
      <c r="BG172" s="24"/>
      <c r="BH172" s="24"/>
      <c r="BI172" s="24"/>
      <c r="BJ172" s="24"/>
      <c r="BK172" s="24"/>
      <c r="BL172" s="24"/>
      <c r="BM172" s="24"/>
      <c r="BN172" s="24"/>
      <c r="BO172" s="24"/>
      <c r="BP172" s="24"/>
      <c r="BQ172" s="24"/>
    </row>
    <row r="173" customFormat="false" ht="15" hidden="false" customHeight="true" outlineLevel="0" collapsed="false">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24"/>
      <c r="BB173" s="24"/>
      <c r="BC173" s="24"/>
      <c r="BD173" s="24"/>
      <c r="BE173" s="24"/>
      <c r="BF173" s="24"/>
      <c r="BG173" s="24"/>
      <c r="BH173" s="24"/>
      <c r="BI173" s="24"/>
      <c r="BJ173" s="24"/>
      <c r="BK173" s="24"/>
      <c r="BL173" s="24"/>
      <c r="BM173" s="24"/>
      <c r="BN173" s="24"/>
      <c r="BO173" s="24"/>
      <c r="BP173" s="24"/>
      <c r="BQ173" s="24"/>
    </row>
    <row r="174" customFormat="false" ht="15" hidden="false" customHeight="true" outlineLevel="0" collapsed="false">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24"/>
      <c r="BB174" s="24"/>
      <c r="BC174" s="24"/>
      <c r="BD174" s="24"/>
      <c r="BE174" s="24"/>
      <c r="BF174" s="24"/>
      <c r="BG174" s="24"/>
      <c r="BH174" s="24"/>
      <c r="BI174" s="24"/>
      <c r="BJ174" s="24"/>
      <c r="BK174" s="24"/>
      <c r="BL174" s="24"/>
      <c r="BM174" s="24"/>
      <c r="BN174" s="24"/>
      <c r="BO174" s="24"/>
      <c r="BP174" s="24"/>
      <c r="BQ174" s="24"/>
    </row>
    <row r="175" customFormat="false" ht="15" hidden="false" customHeight="true" outlineLevel="0" collapsed="false">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24"/>
      <c r="BB175" s="24"/>
      <c r="BC175" s="24"/>
      <c r="BD175" s="24"/>
      <c r="BE175" s="24"/>
      <c r="BF175" s="24"/>
      <c r="BG175" s="24"/>
      <c r="BH175" s="24"/>
      <c r="BI175" s="24"/>
      <c r="BJ175" s="24"/>
      <c r="BK175" s="24"/>
      <c r="BL175" s="24"/>
      <c r="BM175" s="24"/>
      <c r="BN175" s="24"/>
      <c r="BO175" s="24"/>
      <c r="BP175" s="24"/>
      <c r="BQ175" s="24"/>
    </row>
    <row r="176" customFormat="false" ht="15" hidden="false" customHeight="true" outlineLevel="0" collapsed="false">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24"/>
      <c r="BB176" s="24"/>
      <c r="BC176" s="24"/>
      <c r="BD176" s="24"/>
      <c r="BE176" s="24"/>
      <c r="BF176" s="24"/>
      <c r="BG176" s="24"/>
      <c r="BH176" s="24"/>
      <c r="BI176" s="24"/>
      <c r="BJ176" s="24"/>
      <c r="BK176" s="24"/>
      <c r="BL176" s="24"/>
      <c r="BM176" s="24"/>
      <c r="BN176" s="24"/>
      <c r="BO176" s="24"/>
      <c r="BP176" s="24"/>
      <c r="BQ176" s="24"/>
    </row>
    <row r="177" customFormat="false" ht="15" hidden="false" customHeight="true" outlineLevel="0" collapsed="false">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24"/>
      <c r="BB177" s="24"/>
      <c r="BC177" s="24"/>
      <c r="BD177" s="24"/>
      <c r="BE177" s="24"/>
      <c r="BF177" s="24"/>
      <c r="BG177" s="24"/>
      <c r="BH177" s="24"/>
      <c r="BI177" s="24"/>
      <c r="BJ177" s="24"/>
      <c r="BK177" s="24"/>
      <c r="BL177" s="24"/>
      <c r="BM177" s="24"/>
      <c r="BN177" s="24"/>
      <c r="BO177" s="24"/>
      <c r="BP177" s="24"/>
      <c r="BQ177" s="24"/>
    </row>
    <row r="178" customFormat="false" ht="15" hidden="false" customHeight="true" outlineLevel="0" collapsed="false">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24"/>
      <c r="BB178" s="24"/>
      <c r="BC178" s="24"/>
      <c r="BD178" s="24"/>
      <c r="BE178" s="24"/>
      <c r="BF178" s="24"/>
      <c r="BG178" s="24"/>
      <c r="BH178" s="24"/>
      <c r="BI178" s="24"/>
      <c r="BJ178" s="24"/>
      <c r="BK178" s="24"/>
      <c r="BL178" s="24"/>
      <c r="BM178" s="24"/>
      <c r="BN178" s="24"/>
      <c r="BO178" s="24"/>
      <c r="BP178" s="24"/>
      <c r="BQ178" s="24"/>
    </row>
    <row r="179" customFormat="false" ht="15" hidden="false" customHeight="true" outlineLevel="0" collapsed="false">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24"/>
      <c r="BB179" s="24"/>
      <c r="BC179" s="24"/>
      <c r="BD179" s="24"/>
      <c r="BE179" s="24"/>
      <c r="BF179" s="24"/>
      <c r="BG179" s="24"/>
      <c r="BH179" s="24"/>
      <c r="BI179" s="24"/>
      <c r="BJ179" s="24"/>
      <c r="BK179" s="24"/>
      <c r="BL179" s="24"/>
      <c r="BM179" s="24"/>
      <c r="BN179" s="24"/>
      <c r="BO179" s="24"/>
      <c r="BP179" s="24"/>
      <c r="BQ179" s="24"/>
    </row>
    <row r="180" customFormat="false" ht="15" hidden="false" customHeight="true" outlineLevel="0" collapsed="false">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24"/>
      <c r="BB180" s="24"/>
      <c r="BC180" s="24"/>
      <c r="BD180" s="24"/>
      <c r="BE180" s="24"/>
      <c r="BF180" s="24"/>
      <c r="BG180" s="24"/>
      <c r="BH180" s="24"/>
      <c r="BI180" s="24"/>
      <c r="BJ180" s="24"/>
      <c r="BK180" s="24"/>
      <c r="BL180" s="24"/>
      <c r="BM180" s="24"/>
      <c r="BN180" s="24"/>
      <c r="BO180" s="24"/>
      <c r="BP180" s="24"/>
      <c r="BQ180" s="24"/>
    </row>
    <row r="181" customFormat="false" ht="15" hidden="false" customHeight="true" outlineLevel="0" collapsed="false">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24"/>
      <c r="BB181" s="24"/>
      <c r="BC181" s="24"/>
      <c r="BD181" s="24"/>
      <c r="BE181" s="24"/>
      <c r="BF181" s="24"/>
      <c r="BG181" s="24"/>
      <c r="BH181" s="24"/>
      <c r="BI181" s="24"/>
      <c r="BJ181" s="24"/>
      <c r="BK181" s="24"/>
      <c r="BL181" s="24"/>
      <c r="BM181" s="24"/>
      <c r="BN181" s="24"/>
      <c r="BO181" s="24"/>
      <c r="BP181" s="24"/>
      <c r="BQ181" s="24"/>
    </row>
    <row r="182" customFormat="false" ht="15" hidden="false" customHeight="true" outlineLevel="0" collapsed="false">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24"/>
      <c r="BB182" s="24"/>
      <c r="BC182" s="24"/>
      <c r="BD182" s="24"/>
      <c r="BE182" s="24"/>
      <c r="BF182" s="24"/>
      <c r="BG182" s="24"/>
      <c r="BH182" s="24"/>
      <c r="BI182" s="24"/>
      <c r="BJ182" s="24"/>
      <c r="BK182" s="24"/>
      <c r="BL182" s="24"/>
      <c r="BM182" s="24"/>
      <c r="BN182" s="24"/>
      <c r="BO182" s="24"/>
      <c r="BP182" s="24"/>
      <c r="BQ182" s="24"/>
    </row>
    <row r="183" customFormat="false" ht="15" hidden="false" customHeight="true" outlineLevel="0" collapsed="false">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24"/>
      <c r="BB183" s="24"/>
      <c r="BC183" s="24"/>
      <c r="BD183" s="24"/>
      <c r="BE183" s="24"/>
      <c r="BF183" s="24"/>
      <c r="BG183" s="24"/>
      <c r="BH183" s="24"/>
      <c r="BI183" s="24"/>
      <c r="BJ183" s="24"/>
      <c r="BK183" s="24"/>
      <c r="BL183" s="24"/>
      <c r="BM183" s="24"/>
      <c r="BN183" s="24"/>
      <c r="BO183" s="24"/>
      <c r="BP183" s="24"/>
      <c r="BQ183" s="24"/>
    </row>
    <row r="184" customFormat="false" ht="15" hidden="false" customHeight="true" outlineLevel="0" collapsed="false">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24"/>
      <c r="BB184" s="24"/>
      <c r="BC184" s="24"/>
      <c r="BD184" s="24"/>
      <c r="BE184" s="24"/>
      <c r="BF184" s="24"/>
      <c r="BG184" s="24"/>
      <c r="BH184" s="24"/>
      <c r="BI184" s="24"/>
      <c r="BJ184" s="24"/>
      <c r="BK184" s="24"/>
      <c r="BL184" s="24"/>
      <c r="BM184" s="24"/>
      <c r="BN184" s="24"/>
      <c r="BO184" s="24"/>
      <c r="BP184" s="24"/>
      <c r="BQ184" s="24"/>
    </row>
    <row r="185" customFormat="false" ht="15" hidden="false" customHeight="true" outlineLevel="0" collapsed="false">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24"/>
      <c r="BB185" s="24"/>
      <c r="BC185" s="24"/>
      <c r="BD185" s="24"/>
      <c r="BE185" s="24"/>
      <c r="BF185" s="24"/>
      <c r="BG185" s="24"/>
      <c r="BH185" s="24"/>
      <c r="BI185" s="24"/>
      <c r="BJ185" s="24"/>
      <c r="BK185" s="24"/>
      <c r="BL185" s="24"/>
      <c r="BM185" s="24"/>
      <c r="BN185" s="24"/>
      <c r="BO185" s="24"/>
      <c r="BP185" s="24"/>
      <c r="BQ185" s="24"/>
    </row>
    <row r="186" customFormat="false" ht="15" hidden="false" customHeight="true" outlineLevel="0" collapsed="false">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24"/>
      <c r="BB186" s="24"/>
      <c r="BC186" s="24"/>
      <c r="BD186" s="24"/>
      <c r="BE186" s="24"/>
      <c r="BF186" s="24"/>
      <c r="BG186" s="24"/>
      <c r="BH186" s="24"/>
      <c r="BI186" s="24"/>
      <c r="BJ186" s="24"/>
      <c r="BK186" s="24"/>
      <c r="BL186" s="24"/>
      <c r="BM186" s="24"/>
      <c r="BN186" s="24"/>
      <c r="BO186" s="24"/>
      <c r="BP186" s="24"/>
      <c r="BQ186" s="24"/>
    </row>
    <row r="187" customFormat="false" ht="15" hidden="false" customHeight="true" outlineLevel="0" collapsed="false">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24"/>
      <c r="BB187" s="24"/>
      <c r="BC187" s="24"/>
      <c r="BD187" s="24"/>
      <c r="BE187" s="24"/>
      <c r="BF187" s="24"/>
      <c r="BG187" s="24"/>
      <c r="BH187" s="24"/>
      <c r="BI187" s="24"/>
      <c r="BJ187" s="24"/>
      <c r="BK187" s="24"/>
      <c r="BL187" s="24"/>
      <c r="BM187" s="24"/>
      <c r="BN187" s="24"/>
      <c r="BO187" s="24"/>
      <c r="BP187" s="24"/>
      <c r="BQ187" s="24"/>
    </row>
    <row r="188" customFormat="false" ht="15" hidden="false" customHeight="true" outlineLevel="0" collapsed="false">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24"/>
      <c r="BB188" s="24"/>
      <c r="BC188" s="24"/>
      <c r="BD188" s="24"/>
      <c r="BE188" s="24"/>
      <c r="BF188" s="24"/>
      <c r="BG188" s="24"/>
      <c r="BH188" s="24"/>
      <c r="BI188" s="24"/>
      <c r="BJ188" s="24"/>
      <c r="BK188" s="24"/>
      <c r="BL188" s="24"/>
      <c r="BM188" s="24"/>
      <c r="BN188" s="24"/>
      <c r="BO188" s="24"/>
      <c r="BP188" s="24"/>
      <c r="BQ188" s="24"/>
    </row>
    <row r="189" customFormat="false" ht="15" hidden="false" customHeight="true" outlineLevel="0" collapsed="false">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24"/>
      <c r="BB189" s="24"/>
      <c r="BC189" s="24"/>
      <c r="BD189" s="24"/>
      <c r="BE189" s="24"/>
      <c r="BF189" s="24"/>
      <c r="BG189" s="24"/>
      <c r="BH189" s="24"/>
      <c r="BI189" s="24"/>
      <c r="BJ189" s="24"/>
      <c r="BK189" s="24"/>
      <c r="BL189" s="24"/>
      <c r="BM189" s="24"/>
      <c r="BN189" s="24"/>
      <c r="BO189" s="24"/>
      <c r="BP189" s="24"/>
      <c r="BQ189" s="24"/>
    </row>
    <row r="190" customFormat="false" ht="15" hidden="false" customHeight="true" outlineLevel="0" collapsed="false">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24"/>
      <c r="BB190" s="24"/>
      <c r="BC190" s="24"/>
      <c r="BD190" s="24"/>
      <c r="BE190" s="24"/>
      <c r="BF190" s="24"/>
      <c r="BG190" s="24"/>
      <c r="BH190" s="24"/>
      <c r="BI190" s="24"/>
      <c r="BJ190" s="24"/>
      <c r="BK190" s="24"/>
      <c r="BL190" s="24"/>
      <c r="BM190" s="24"/>
      <c r="BN190" s="24"/>
      <c r="BO190" s="24"/>
      <c r="BP190" s="24"/>
      <c r="BQ190" s="24"/>
    </row>
    <row r="191" customFormat="false" ht="15" hidden="false" customHeight="true" outlineLevel="0" collapsed="false">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24"/>
      <c r="BB191" s="24"/>
      <c r="BC191" s="24"/>
      <c r="BD191" s="24"/>
      <c r="BE191" s="24"/>
      <c r="BF191" s="24"/>
      <c r="BG191" s="24"/>
      <c r="BH191" s="24"/>
      <c r="BI191" s="24"/>
      <c r="BJ191" s="24"/>
      <c r="BK191" s="24"/>
      <c r="BL191" s="24"/>
      <c r="BM191" s="24"/>
      <c r="BN191" s="24"/>
      <c r="BO191" s="24"/>
      <c r="BP191" s="24"/>
      <c r="BQ191" s="24"/>
    </row>
    <row r="192" customFormat="false" ht="15" hidden="false" customHeight="true" outlineLevel="0" collapsed="false">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24"/>
      <c r="BB192" s="24"/>
      <c r="BC192" s="24"/>
      <c r="BD192" s="24"/>
      <c r="BE192" s="24"/>
      <c r="BF192" s="24"/>
      <c r="BG192" s="24"/>
      <c r="BH192" s="24"/>
      <c r="BI192" s="24"/>
      <c r="BJ192" s="24"/>
      <c r="BK192" s="24"/>
      <c r="BL192" s="24"/>
      <c r="BM192" s="24"/>
      <c r="BN192" s="24"/>
      <c r="BO192" s="24"/>
      <c r="BP192" s="24"/>
      <c r="BQ192" s="24"/>
    </row>
    <row r="193" customFormat="false" ht="15" hidden="false" customHeight="true" outlineLevel="0" collapsed="false">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24"/>
      <c r="BB193" s="24"/>
      <c r="BC193" s="24"/>
      <c r="BD193" s="24"/>
      <c r="BE193" s="24"/>
      <c r="BF193" s="24"/>
      <c r="BG193" s="24"/>
      <c r="BH193" s="24"/>
      <c r="BI193" s="24"/>
      <c r="BJ193" s="24"/>
      <c r="BK193" s="24"/>
      <c r="BL193" s="24"/>
      <c r="BM193" s="24"/>
      <c r="BN193" s="24"/>
      <c r="BO193" s="24"/>
      <c r="BP193" s="24"/>
      <c r="BQ193" s="24"/>
    </row>
    <row r="194" customFormat="false" ht="15" hidden="false" customHeight="true" outlineLevel="0" collapsed="false">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24"/>
      <c r="BB194" s="24"/>
      <c r="BC194" s="24"/>
      <c r="BD194" s="24"/>
      <c r="BE194" s="24"/>
      <c r="BF194" s="24"/>
      <c r="BG194" s="24"/>
      <c r="BH194" s="24"/>
      <c r="BI194" s="24"/>
      <c r="BJ194" s="24"/>
      <c r="BK194" s="24"/>
      <c r="BL194" s="24"/>
      <c r="BM194" s="24"/>
      <c r="BN194" s="24"/>
      <c r="BO194" s="24"/>
      <c r="BP194" s="24"/>
      <c r="BQ194" s="24"/>
    </row>
    <row r="195" customFormat="false" ht="15" hidden="false" customHeight="true" outlineLevel="0" collapsed="false">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24"/>
      <c r="BB195" s="24"/>
      <c r="BC195" s="24"/>
      <c r="BD195" s="24"/>
      <c r="BE195" s="24"/>
      <c r="BF195" s="24"/>
      <c r="BG195" s="24"/>
      <c r="BH195" s="24"/>
      <c r="BI195" s="24"/>
      <c r="BJ195" s="24"/>
      <c r="BK195" s="24"/>
      <c r="BL195" s="24"/>
      <c r="BM195" s="24"/>
      <c r="BN195" s="24"/>
      <c r="BO195" s="24"/>
      <c r="BP195" s="24"/>
      <c r="BQ195" s="24"/>
    </row>
    <row r="196" customFormat="false" ht="15" hidden="false" customHeight="true" outlineLevel="0" collapsed="false">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24"/>
      <c r="BB196" s="24"/>
      <c r="BC196" s="24"/>
      <c r="BD196" s="24"/>
      <c r="BE196" s="24"/>
      <c r="BF196" s="24"/>
      <c r="BG196" s="24"/>
      <c r="BH196" s="24"/>
      <c r="BI196" s="24"/>
      <c r="BJ196" s="24"/>
      <c r="BK196" s="24"/>
      <c r="BL196" s="24"/>
      <c r="BM196" s="24"/>
      <c r="BN196" s="24"/>
      <c r="BO196" s="24"/>
      <c r="BP196" s="24"/>
      <c r="BQ196" s="24"/>
    </row>
    <row r="197" customFormat="false" ht="15" hidden="false" customHeight="true" outlineLevel="0" collapsed="false">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24"/>
      <c r="BB197" s="24"/>
      <c r="BC197" s="24"/>
      <c r="BD197" s="24"/>
      <c r="BE197" s="24"/>
      <c r="BF197" s="24"/>
      <c r="BG197" s="24"/>
      <c r="BH197" s="24"/>
      <c r="BI197" s="24"/>
      <c r="BJ197" s="24"/>
      <c r="BK197" s="24"/>
      <c r="BL197" s="24"/>
      <c r="BM197" s="24"/>
      <c r="BN197" s="24"/>
      <c r="BO197" s="24"/>
      <c r="BP197" s="24"/>
      <c r="BQ197" s="24"/>
    </row>
    <row r="198" customFormat="false" ht="15" hidden="false" customHeight="true" outlineLevel="0" collapsed="false">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24"/>
      <c r="BB198" s="24"/>
      <c r="BC198" s="24"/>
      <c r="BD198" s="24"/>
      <c r="BE198" s="24"/>
      <c r="BF198" s="24"/>
      <c r="BG198" s="24"/>
      <c r="BH198" s="24"/>
      <c r="BI198" s="24"/>
      <c r="BJ198" s="24"/>
      <c r="BK198" s="24"/>
      <c r="BL198" s="24"/>
      <c r="BM198" s="24"/>
      <c r="BN198" s="24"/>
      <c r="BO198" s="24"/>
      <c r="BP198" s="24"/>
      <c r="BQ198" s="24"/>
    </row>
    <row r="199" customFormat="false" ht="15" hidden="false" customHeight="true" outlineLevel="0" collapsed="false">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24"/>
      <c r="BB199" s="24"/>
      <c r="BC199" s="24"/>
      <c r="BD199" s="24"/>
      <c r="BE199" s="24"/>
      <c r="BF199" s="24"/>
      <c r="BG199" s="24"/>
      <c r="BH199" s="24"/>
      <c r="BI199" s="24"/>
      <c r="BJ199" s="24"/>
      <c r="BK199" s="24"/>
      <c r="BL199" s="24"/>
      <c r="BM199" s="24"/>
      <c r="BN199" s="24"/>
      <c r="BO199" s="24"/>
      <c r="BP199" s="24"/>
      <c r="BQ199" s="24"/>
    </row>
    <row r="200" customFormat="false" ht="15" hidden="false" customHeight="true" outlineLevel="0" collapsed="false">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24"/>
      <c r="BB200" s="24"/>
      <c r="BC200" s="24"/>
      <c r="BD200" s="24"/>
      <c r="BE200" s="24"/>
      <c r="BF200" s="24"/>
      <c r="BG200" s="24"/>
      <c r="BH200" s="24"/>
      <c r="BI200" s="24"/>
      <c r="BJ200" s="24"/>
      <c r="BK200" s="24"/>
      <c r="BL200" s="24"/>
      <c r="BM200" s="24"/>
      <c r="BN200" s="24"/>
      <c r="BO200" s="24"/>
      <c r="BP200" s="24"/>
      <c r="BQ200" s="24"/>
    </row>
  </sheetData>
  <conditionalFormatting sqref="AY2:AY80">
    <cfRule type="expression" priority="2" aboveAverage="0" equalAverage="0" bottom="0" percent="0" rank="0" text="" dxfId="6">
      <formula>AY2="Yes"</formula>
    </cfRule>
  </conditionalFormatting>
  <dataValidations count="18">
    <dataValidation allowBlank="false" errorStyle="stop" operator="between" showDropDown="false" showErrorMessage="false" showInputMessage="false" sqref="AZ2:AZ80" type="list">
      <formula1>"A_explicit_policy_holding,B_strong_inference,C_possible_only,D_not_policy_holding"</formula1>
      <formula2>0</formula2>
    </dataValidation>
    <dataValidation allowBlank="true" errorStyle="stop" operator="between" showDropDown="false" showErrorMessage="true" showInputMessage="false" sqref="C2:C400" type="list">
      <formula1>Lists!$A$2:$A$10</formula1>
      <formula2>0</formula2>
    </dataValidation>
    <dataValidation allowBlank="true" errorStyle="stop" operator="between" showDropDown="false" showErrorMessage="true" showInputMessage="false" sqref="J2:J400" type="list">
      <formula1>Lists!$B$2:$B$7</formula1>
      <formula2>0</formula2>
    </dataValidation>
    <dataValidation allowBlank="true" errorStyle="stop" operator="between" showDropDown="false" showErrorMessage="true" showInputMessage="false" sqref="K2:K400" type="list">
      <formula1>Lists!$C$2:$C$12</formula1>
      <formula2>0</formula2>
    </dataValidation>
    <dataValidation allowBlank="true" errorStyle="stop" operator="between" showDropDown="false" showErrorMessage="true" showInputMessage="false" sqref="L2:L400" type="list">
      <formula1>Lists!$D$2:$D$13</formula1>
      <formula2>0</formula2>
    </dataValidation>
    <dataValidation allowBlank="true" errorStyle="stop" operator="between" showDropDown="false" showErrorMessage="true" showInputMessage="false" sqref="M2:M400" type="list">
      <formula1>Lists!$E$2:$E$12</formula1>
      <formula2>0</formula2>
    </dataValidation>
    <dataValidation allowBlank="true" errorStyle="stop" operator="between" showDropDown="false" showErrorMessage="true" showInputMessage="false" sqref="H2:H400" type="list">
      <formula1>Lists!$F$2:$F$13</formula1>
      <formula2>0</formula2>
    </dataValidation>
    <dataValidation allowBlank="true" errorStyle="stop" operator="between" showDropDown="false" showErrorMessage="true" showInputMessage="false" sqref="X2:X400" type="list">
      <formula1>Lists!$G$2:$G$9</formula1>
      <formula2>0</formula2>
    </dataValidation>
    <dataValidation allowBlank="true" errorStyle="stop" operator="between" showDropDown="false" showErrorMessage="true" showInputMessage="false" sqref="Y2:Y400" type="list">
      <formula1>Lists!$H$2:$H$9</formula1>
      <formula2>0</formula2>
    </dataValidation>
    <dataValidation allowBlank="true" errorStyle="stop" operator="between" showDropDown="false" showErrorMessage="true" showInputMessage="false" sqref="BM2:BM400" type="list">
      <formula1>Lists!$I$2:$I$7</formula1>
      <formula2>0</formula2>
    </dataValidation>
    <dataValidation allowBlank="true" errorStyle="stop" operator="between" showDropDown="false" showErrorMessage="true" showInputMessage="false" sqref="BN2:BN400" type="list">
      <formula1>Lists!$J$2:$J$8</formula1>
      <formula2>0</formula2>
    </dataValidation>
    <dataValidation allowBlank="true" errorStyle="stop" operator="between" showDropDown="false" showErrorMessage="true" showInputMessage="false" sqref="BA2:BA400" type="list">
      <formula1>Lists!$K$2:$K$7</formula1>
      <formula2>0</formula2>
    </dataValidation>
    <dataValidation allowBlank="true" errorStyle="stop" operator="between" showDropDown="false" showErrorMessage="true" showInputMessage="false" sqref="N2:N400" type="list">
      <formula1>Lists!$L$2:$L$6</formula1>
      <formula2>0</formula2>
    </dataValidation>
    <dataValidation allowBlank="true" errorStyle="stop" operator="between" showDropDown="false" showErrorMessage="true" showInputMessage="false" sqref="O2:O400" type="list">
      <formula1>Lists!$L$2:$L$6</formula1>
      <formula2>0</formula2>
    </dataValidation>
    <dataValidation allowBlank="true" errorStyle="stop" operator="between" showDropDown="false" showErrorMessage="true" showInputMessage="false" sqref="P2:P400" type="list">
      <formula1>Lists!$L$2:$L$6</formula1>
      <formula2>0</formula2>
    </dataValidation>
    <dataValidation allowBlank="true" errorStyle="stop" operator="between" showDropDown="false" showErrorMessage="true" showInputMessage="false" sqref="Q2:Q400" type="list">
      <formula1>Lists!$L$2:$L$6</formula1>
      <formula2>0</formula2>
    </dataValidation>
    <dataValidation allowBlank="true" errorStyle="stop" operator="between" showDropDown="false" showErrorMessage="true" showInputMessage="false" sqref="S2:S400" type="list">
      <formula1>Lists!$L$2:$L$6</formula1>
      <formula2>0</formula2>
    </dataValidation>
    <dataValidation allowBlank="true" errorStyle="stop" operator="between" showDropDown="false" showErrorMessage="true" showInputMessage="false" sqref="AW2:AW400" type="list">
      <formula1>Lists!$L$2:$L$6</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1.88"/>
    <col collapsed="false" customWidth="true" hidden="false" outlineLevel="0" max="2" min="2" style="1" width="6.51"/>
    <col collapsed="false" customWidth="true" hidden="false" outlineLevel="0" max="3" min="3" style="1" width="42.5"/>
    <col collapsed="false" customWidth="true" hidden="false" outlineLevel="0" max="4" min="4" style="1" width="102"/>
  </cols>
  <sheetData>
    <row r="1" customFormat="false" ht="30" hidden="false" customHeight="true" outlineLevel="0" collapsed="false">
      <c r="A1" s="10" t="s">
        <v>232</v>
      </c>
      <c r="B1" s="10" t="s">
        <v>233</v>
      </c>
      <c r="C1" s="10" t="s">
        <v>234</v>
      </c>
      <c r="D1" s="10" t="s">
        <v>235</v>
      </c>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row>
    <row r="2" customFormat="false" ht="32.25" hidden="false" customHeight="true" outlineLevel="0" collapsed="false">
      <c r="A2" s="7" t="s">
        <v>33</v>
      </c>
      <c r="B2" s="7" t="s">
        <v>236</v>
      </c>
      <c r="C2" s="9" t="s">
        <v>237</v>
      </c>
      <c r="D2" s="9" t="s">
        <v>238</v>
      </c>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row>
    <row r="3" customFormat="false" ht="16.5" hidden="false" customHeight="true" outlineLevel="0" collapsed="false">
      <c r="A3" s="7" t="s">
        <v>34</v>
      </c>
      <c r="B3" s="7" t="s">
        <v>236</v>
      </c>
      <c r="C3" s="9" t="s">
        <v>239</v>
      </c>
      <c r="D3" s="7" t="s">
        <v>240</v>
      </c>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row>
    <row r="4" customFormat="false" ht="16.5" hidden="false" customHeight="true" outlineLevel="0" collapsed="false">
      <c r="A4" s="7" t="s">
        <v>35</v>
      </c>
      <c r="B4" s="7" t="s">
        <v>241</v>
      </c>
      <c r="C4" s="9" t="s">
        <v>242</v>
      </c>
      <c r="D4" s="7" t="s">
        <v>243</v>
      </c>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row>
    <row r="5" customFormat="false" ht="16.5" hidden="false" customHeight="true" outlineLevel="0" collapsed="false">
      <c r="A5" s="7" t="s">
        <v>36</v>
      </c>
      <c r="B5" s="7" t="s">
        <v>236</v>
      </c>
      <c r="C5" s="9" t="s">
        <v>244</v>
      </c>
      <c r="D5" s="9" t="s">
        <v>245</v>
      </c>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row>
    <row r="6" customFormat="false" ht="16.5" hidden="false" customHeight="true" outlineLevel="0" collapsed="false">
      <c r="A6" s="7" t="s">
        <v>37</v>
      </c>
      <c r="B6" s="7" t="s">
        <v>236</v>
      </c>
      <c r="C6" s="9" t="s">
        <v>246</v>
      </c>
      <c r="D6" s="9" t="s">
        <v>247</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row>
    <row r="7" customFormat="false" ht="16.5" hidden="false" customHeight="true" outlineLevel="0" collapsed="false">
      <c r="A7" s="7" t="s">
        <v>38</v>
      </c>
      <c r="B7" s="7" t="s">
        <v>236</v>
      </c>
      <c r="C7" s="9" t="s">
        <v>248</v>
      </c>
      <c r="D7" s="9" t="s">
        <v>249</v>
      </c>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row>
    <row r="8" customFormat="false" ht="16.5" hidden="false" customHeight="true" outlineLevel="0" collapsed="false">
      <c r="A8" s="7" t="s">
        <v>39</v>
      </c>
      <c r="B8" s="7" t="s">
        <v>236</v>
      </c>
      <c r="C8" s="9" t="s">
        <v>250</v>
      </c>
      <c r="D8" s="9" t="s">
        <v>251</v>
      </c>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row>
    <row r="9" customFormat="false" ht="16.5" hidden="false" customHeight="true" outlineLevel="0" collapsed="false">
      <c r="A9" s="7" t="s">
        <v>40</v>
      </c>
      <c r="B9" s="7" t="s">
        <v>241</v>
      </c>
      <c r="C9" s="9" t="s">
        <v>252</v>
      </c>
      <c r="D9" s="7" t="s">
        <v>253</v>
      </c>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row>
    <row r="10" customFormat="false" ht="16.5" hidden="false" customHeight="true" outlineLevel="0" collapsed="false">
      <c r="A10" s="7" t="s">
        <v>41</v>
      </c>
      <c r="B10" s="7" t="s">
        <v>236</v>
      </c>
      <c r="C10" s="9" t="s">
        <v>254</v>
      </c>
      <c r="D10" s="9" t="s">
        <v>255</v>
      </c>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row>
    <row r="11" customFormat="false" ht="16.5" hidden="false" customHeight="true" outlineLevel="0" collapsed="false">
      <c r="A11" s="7" t="s">
        <v>42</v>
      </c>
      <c r="B11" s="7" t="s">
        <v>241</v>
      </c>
      <c r="C11" s="9" t="s">
        <v>256</v>
      </c>
      <c r="D11" s="7" t="s">
        <v>257</v>
      </c>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row>
    <row r="12" customFormat="false" ht="16.5" hidden="false" customHeight="true" outlineLevel="0" collapsed="false">
      <c r="A12" s="7" t="s">
        <v>43</v>
      </c>
      <c r="B12" s="7" t="s">
        <v>241</v>
      </c>
      <c r="C12" s="7" t="s">
        <v>258</v>
      </c>
      <c r="D12" s="7" t="s">
        <v>259</v>
      </c>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row>
    <row r="13" customFormat="false" ht="27.75" hidden="false" customHeight="true" outlineLevel="0" collapsed="false">
      <c r="A13" s="7" t="s">
        <v>44</v>
      </c>
      <c r="B13" s="7" t="s">
        <v>241</v>
      </c>
      <c r="C13" s="9" t="s">
        <v>260</v>
      </c>
      <c r="D13" s="7" t="s">
        <v>261</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row>
    <row r="14" customFormat="false" ht="30" hidden="false" customHeight="true" outlineLevel="0" collapsed="false">
      <c r="A14" s="7" t="s">
        <v>45</v>
      </c>
      <c r="B14" s="7" t="s">
        <v>241</v>
      </c>
      <c r="C14" s="9" t="s">
        <v>262</v>
      </c>
      <c r="D14" s="7" t="s">
        <v>263</v>
      </c>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row>
    <row r="15" customFormat="false" ht="16.5" hidden="false" customHeight="true" outlineLevel="0" collapsed="false">
      <c r="A15" s="7" t="s">
        <v>46</v>
      </c>
      <c r="B15" s="7" t="s">
        <v>264</v>
      </c>
      <c r="C15" s="9" t="s">
        <v>265</v>
      </c>
      <c r="D15" s="9" t="s">
        <v>266</v>
      </c>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row>
    <row r="16" customFormat="false" ht="16.5" hidden="false" customHeight="true" outlineLevel="0" collapsed="false">
      <c r="A16" s="7" t="s">
        <v>47</v>
      </c>
      <c r="B16" s="7" t="s">
        <v>264</v>
      </c>
      <c r="C16" s="9" t="s">
        <v>267</v>
      </c>
      <c r="D16" s="9" t="s">
        <v>268</v>
      </c>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row>
    <row r="17" customFormat="false" ht="16.5" hidden="false" customHeight="true" outlineLevel="0" collapsed="false">
      <c r="A17" s="7" t="s">
        <v>48</v>
      </c>
      <c r="B17" s="7" t="s">
        <v>264</v>
      </c>
      <c r="C17" s="9" t="s">
        <v>269</v>
      </c>
      <c r="D17" s="9" t="s">
        <v>270</v>
      </c>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row>
    <row r="18" customFormat="false" ht="16.5" hidden="false" customHeight="true" outlineLevel="0" collapsed="false">
      <c r="A18" s="7" t="s">
        <v>49</v>
      </c>
      <c r="B18" s="7" t="s">
        <v>264</v>
      </c>
      <c r="C18" s="9" t="s">
        <v>271</v>
      </c>
      <c r="D18" s="9" t="s">
        <v>249</v>
      </c>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row>
    <row r="19" customFormat="false" ht="16.5" hidden="false" customHeight="true" outlineLevel="0" collapsed="false">
      <c r="A19" s="7" t="s">
        <v>50</v>
      </c>
      <c r="B19" s="7" t="s">
        <v>272</v>
      </c>
      <c r="C19" s="9" t="s">
        <v>273</v>
      </c>
      <c r="D19" s="7" t="s">
        <v>274</v>
      </c>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row>
    <row r="20" customFormat="false" ht="16.5" hidden="false" customHeight="true" outlineLevel="0" collapsed="false">
      <c r="A20" s="7" t="s">
        <v>51</v>
      </c>
      <c r="B20" s="7" t="s">
        <v>264</v>
      </c>
      <c r="C20" s="9" t="s">
        <v>275</v>
      </c>
      <c r="D20" s="7" t="s">
        <v>276</v>
      </c>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row>
    <row r="21" customFormat="false" ht="16.5" hidden="false" customHeight="true" outlineLevel="0" collapsed="false">
      <c r="A21" s="7" t="s">
        <v>52</v>
      </c>
      <c r="B21" s="7" t="s">
        <v>277</v>
      </c>
      <c r="C21" s="9" t="s">
        <v>278</v>
      </c>
      <c r="D21" s="7" t="s">
        <v>279</v>
      </c>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row>
    <row r="22" customFormat="false" ht="16.5" hidden="false" customHeight="true" outlineLevel="0" collapsed="false">
      <c r="A22" s="7" t="s">
        <v>53</v>
      </c>
      <c r="B22" s="7" t="s">
        <v>277</v>
      </c>
      <c r="C22" s="9" t="s">
        <v>280</v>
      </c>
      <c r="D22" s="9" t="s">
        <v>281</v>
      </c>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row>
    <row r="23" customFormat="false" ht="16.5" hidden="false" customHeight="true" outlineLevel="0" collapsed="false">
      <c r="A23" s="7" t="s">
        <v>54</v>
      </c>
      <c r="B23" s="7" t="s">
        <v>277</v>
      </c>
      <c r="C23" s="9" t="s">
        <v>282</v>
      </c>
      <c r="D23" s="9" t="s">
        <v>249</v>
      </c>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row>
    <row r="24" customFormat="false" ht="16.5" hidden="false" customHeight="true" outlineLevel="0" collapsed="false">
      <c r="A24" s="7" t="s">
        <v>55</v>
      </c>
      <c r="B24" s="7" t="s">
        <v>277</v>
      </c>
      <c r="C24" s="9" t="s">
        <v>283</v>
      </c>
      <c r="D24" s="7" t="s">
        <v>284</v>
      </c>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row>
    <row r="25" customFormat="false" ht="32.25" hidden="false" customHeight="true" outlineLevel="0" collapsed="false">
      <c r="A25" s="7" t="s">
        <v>56</v>
      </c>
      <c r="B25" s="7" t="s">
        <v>241</v>
      </c>
      <c r="C25" s="9" t="s">
        <v>285</v>
      </c>
      <c r="D25" s="7" t="s">
        <v>286</v>
      </c>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row>
    <row r="26" customFormat="false" ht="32.25" hidden="false" customHeight="true" outlineLevel="0" collapsed="false">
      <c r="A26" s="7" t="s">
        <v>57</v>
      </c>
      <c r="B26" s="7" t="s">
        <v>241</v>
      </c>
      <c r="C26" s="9" t="s">
        <v>287</v>
      </c>
      <c r="D26" s="7" t="s">
        <v>286</v>
      </c>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row>
    <row r="27" customFormat="false" ht="27.75" hidden="false" customHeight="true" outlineLevel="0" collapsed="false">
      <c r="A27" s="7" t="s">
        <v>58</v>
      </c>
      <c r="B27" s="7" t="s">
        <v>288</v>
      </c>
      <c r="C27" s="9" t="s">
        <v>289</v>
      </c>
      <c r="D27" s="9" t="s">
        <v>290</v>
      </c>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row>
    <row r="28" customFormat="false" ht="27.75" hidden="false" customHeight="true" outlineLevel="0" collapsed="false">
      <c r="A28" s="7" t="s">
        <v>59</v>
      </c>
      <c r="B28" s="7" t="s">
        <v>288</v>
      </c>
      <c r="C28" s="9" t="s">
        <v>291</v>
      </c>
      <c r="D28" s="9" t="s">
        <v>292</v>
      </c>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row>
    <row r="29" customFormat="false" ht="27.75" hidden="false" customHeight="true" outlineLevel="0" collapsed="false">
      <c r="A29" s="7" t="s">
        <v>60</v>
      </c>
      <c r="B29" s="7" t="s">
        <v>288</v>
      </c>
      <c r="C29" s="7" t="s">
        <v>293</v>
      </c>
      <c r="D29" s="9" t="s">
        <v>294</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row>
    <row r="30" customFormat="false" ht="27.75" hidden="false" customHeight="true" outlineLevel="0" collapsed="false">
      <c r="A30" s="7" t="s">
        <v>61</v>
      </c>
      <c r="B30" s="7" t="s">
        <v>288</v>
      </c>
      <c r="C30" s="7" t="s">
        <v>295</v>
      </c>
      <c r="D30" s="9" t="s">
        <v>296</v>
      </c>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row>
    <row r="31" customFormat="false" ht="27.75" hidden="false" customHeight="true" outlineLevel="0" collapsed="false">
      <c r="A31" s="7" t="s">
        <v>62</v>
      </c>
      <c r="B31" s="7" t="s">
        <v>288</v>
      </c>
      <c r="C31" s="9" t="s">
        <v>297</v>
      </c>
      <c r="D31" s="9" t="s">
        <v>298</v>
      </c>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row>
    <row r="32" customFormat="false" ht="27.75" hidden="false" customHeight="true" outlineLevel="0" collapsed="false">
      <c r="A32" s="7" t="s">
        <v>63</v>
      </c>
      <c r="B32" s="7" t="s">
        <v>288</v>
      </c>
      <c r="C32" s="9" t="s">
        <v>299</v>
      </c>
      <c r="D32" s="7" t="s">
        <v>300</v>
      </c>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row>
    <row r="33" customFormat="false" ht="27.75" hidden="false" customHeight="true" outlineLevel="0" collapsed="false">
      <c r="A33" s="7" t="s">
        <v>64</v>
      </c>
      <c r="B33" s="7" t="s">
        <v>288</v>
      </c>
      <c r="C33" s="9" t="s">
        <v>301</v>
      </c>
      <c r="D33" s="9" t="s">
        <v>249</v>
      </c>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row>
    <row r="34" customFormat="false" ht="27.75" hidden="false" customHeight="true" outlineLevel="0" collapsed="false">
      <c r="A34" s="7" t="s">
        <v>65</v>
      </c>
      <c r="B34" s="7" t="s">
        <v>288</v>
      </c>
      <c r="C34" s="9" t="s">
        <v>302</v>
      </c>
      <c r="D34" s="9" t="s">
        <v>249</v>
      </c>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row>
    <row r="35" customFormat="false" ht="27.75" hidden="false" customHeight="true" outlineLevel="0" collapsed="false">
      <c r="A35" s="7" t="s">
        <v>66</v>
      </c>
      <c r="B35" s="7" t="s">
        <v>288</v>
      </c>
      <c r="C35" s="9" t="s">
        <v>303</v>
      </c>
      <c r="D35" s="9" t="s">
        <v>304</v>
      </c>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row>
    <row r="36" customFormat="false" ht="27.75" hidden="false" customHeight="true" outlineLevel="0" collapsed="false">
      <c r="A36" s="7" t="s">
        <v>67</v>
      </c>
      <c r="B36" s="7" t="s">
        <v>288</v>
      </c>
      <c r="C36" s="9" t="s">
        <v>305</v>
      </c>
      <c r="D36" s="9" t="s">
        <v>304</v>
      </c>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row>
    <row r="37" customFormat="false" ht="27.75" hidden="false" customHeight="true" outlineLevel="0" collapsed="false">
      <c r="A37" s="7" t="s">
        <v>68</v>
      </c>
      <c r="B37" s="7" t="s">
        <v>288</v>
      </c>
      <c r="C37" s="9" t="s">
        <v>306</v>
      </c>
      <c r="D37" s="7" t="s">
        <v>307</v>
      </c>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row>
    <row r="38" customFormat="false" ht="27.75" hidden="false" customHeight="true" outlineLevel="0" collapsed="false">
      <c r="A38" s="7" t="s">
        <v>69</v>
      </c>
      <c r="B38" s="7" t="s">
        <v>288</v>
      </c>
      <c r="C38" s="9" t="s">
        <v>308</v>
      </c>
      <c r="D38" s="7" t="s">
        <v>309</v>
      </c>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row>
    <row r="39" customFormat="false" ht="27.75" hidden="false" customHeight="true" outlineLevel="0" collapsed="false">
      <c r="A39" s="7" t="s">
        <v>70</v>
      </c>
      <c r="B39" s="7" t="s">
        <v>310</v>
      </c>
      <c r="C39" s="7" t="s">
        <v>311</v>
      </c>
      <c r="D39" s="7" t="s">
        <v>312</v>
      </c>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row>
    <row r="40" customFormat="false" ht="27.75" hidden="false" customHeight="true" outlineLevel="0" collapsed="false">
      <c r="A40" s="7" t="s">
        <v>71</v>
      </c>
      <c r="B40" s="7" t="s">
        <v>310</v>
      </c>
      <c r="C40" s="7" t="s">
        <v>313</v>
      </c>
      <c r="D40" s="7" t="s">
        <v>314</v>
      </c>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row>
    <row r="41" customFormat="false" ht="27.75" hidden="false" customHeight="true" outlineLevel="0" collapsed="false">
      <c r="A41" s="7" t="s">
        <v>72</v>
      </c>
      <c r="B41" s="7" t="s">
        <v>310</v>
      </c>
      <c r="C41" s="7" t="s">
        <v>315</v>
      </c>
      <c r="D41" s="9" t="s">
        <v>316</v>
      </c>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row>
    <row r="42" customFormat="false" ht="27.75" hidden="false" customHeight="true" outlineLevel="0" collapsed="false">
      <c r="A42" s="7" t="s">
        <v>73</v>
      </c>
      <c r="B42" s="7" t="s">
        <v>310</v>
      </c>
      <c r="C42" s="7" t="s">
        <v>317</v>
      </c>
      <c r="D42" s="9" t="s">
        <v>318</v>
      </c>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row>
    <row r="43" customFormat="false" ht="27.75" hidden="false" customHeight="true" outlineLevel="0" collapsed="false">
      <c r="A43" s="7" t="s">
        <v>74</v>
      </c>
      <c r="B43" s="7" t="s">
        <v>288</v>
      </c>
      <c r="C43" s="9" t="s">
        <v>319</v>
      </c>
      <c r="D43" s="9" t="s">
        <v>249</v>
      </c>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row>
    <row r="44" customFormat="false" ht="27.75" hidden="false" customHeight="true" outlineLevel="0" collapsed="false">
      <c r="A44" s="7" t="s">
        <v>75</v>
      </c>
      <c r="B44" s="7" t="s">
        <v>288</v>
      </c>
      <c r="C44" s="9" t="s">
        <v>320</v>
      </c>
      <c r="D44" s="7" t="s">
        <v>321</v>
      </c>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row>
    <row r="45" customFormat="false" ht="27.75" hidden="false" customHeight="true" outlineLevel="0" collapsed="false">
      <c r="A45" s="7" t="s">
        <v>76</v>
      </c>
      <c r="B45" s="7" t="s">
        <v>310</v>
      </c>
      <c r="C45" s="7" t="s">
        <v>322</v>
      </c>
      <c r="D45" s="7" t="s">
        <v>323</v>
      </c>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row>
    <row r="46" customFormat="false" ht="27.75" hidden="false" customHeight="true" outlineLevel="0" collapsed="false">
      <c r="A46" s="7" t="s">
        <v>77</v>
      </c>
      <c r="B46" s="7" t="s">
        <v>288</v>
      </c>
      <c r="C46" s="9" t="s">
        <v>324</v>
      </c>
      <c r="D46" s="7" t="s">
        <v>325</v>
      </c>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row>
    <row r="47" customFormat="false" ht="27.75" hidden="false" customHeight="true" outlineLevel="0" collapsed="false">
      <c r="A47" s="7" t="s">
        <v>78</v>
      </c>
      <c r="B47" s="7" t="s">
        <v>288</v>
      </c>
      <c r="C47" s="9" t="s">
        <v>326</v>
      </c>
      <c r="D47" s="9" t="s">
        <v>249</v>
      </c>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row>
    <row r="48" customFormat="false" ht="16.5" hidden="false" customHeight="true" outlineLevel="0" collapsed="false">
      <c r="A48" s="7" t="s">
        <v>79</v>
      </c>
      <c r="B48" s="7" t="s">
        <v>236</v>
      </c>
      <c r="C48" s="9" t="s">
        <v>327</v>
      </c>
      <c r="D48" s="7" t="s">
        <v>328</v>
      </c>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row>
    <row r="49" customFormat="false" ht="16.5" hidden="false" customHeight="true" outlineLevel="0" collapsed="false">
      <c r="A49" s="7" t="s">
        <v>80</v>
      </c>
      <c r="B49" s="7" t="s">
        <v>236</v>
      </c>
      <c r="C49" s="9" t="s">
        <v>329</v>
      </c>
      <c r="D49" s="9" t="s">
        <v>330</v>
      </c>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row>
    <row r="50" customFormat="false" ht="16.5" hidden="false" customHeight="true" outlineLevel="0" collapsed="false">
      <c r="A50" s="7" t="s">
        <v>81</v>
      </c>
      <c r="B50" s="7" t="s">
        <v>264</v>
      </c>
      <c r="C50" s="9" t="s">
        <v>331</v>
      </c>
      <c r="D50" s="7" t="s">
        <v>332</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row>
    <row r="51" customFormat="false" ht="27.75" hidden="false" customHeight="true" outlineLevel="0" collapsed="false">
      <c r="A51" s="7" t="s">
        <v>82</v>
      </c>
      <c r="B51" s="7" t="s">
        <v>288</v>
      </c>
      <c r="C51" s="9" t="s">
        <v>333</v>
      </c>
      <c r="D51" s="9" t="s">
        <v>249</v>
      </c>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row>
    <row r="52" customFormat="false" ht="16.5" hidden="false" customHeight="true" outlineLevel="0" collapsed="false">
      <c r="A52" s="7" t="s">
        <v>83</v>
      </c>
      <c r="B52" s="7" t="s">
        <v>236</v>
      </c>
      <c r="C52" s="9" t="s">
        <v>334</v>
      </c>
      <c r="D52" s="9" t="s">
        <v>249</v>
      </c>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row>
    <row r="53" customFormat="false" ht="16.5" hidden="false" customHeight="true" outlineLevel="0" collapsed="false">
      <c r="A53" s="7" t="s">
        <v>84</v>
      </c>
      <c r="B53" s="7" t="s">
        <v>236</v>
      </c>
      <c r="C53" s="9" t="s">
        <v>335</v>
      </c>
      <c r="D53" s="9" t="s">
        <v>336</v>
      </c>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row>
    <row r="54" customFormat="false" ht="16.5" hidden="false" customHeight="true" outlineLevel="0" collapsed="false">
      <c r="A54" s="7" t="s">
        <v>85</v>
      </c>
      <c r="B54" s="7" t="s">
        <v>241</v>
      </c>
      <c r="C54" s="9" t="s">
        <v>337</v>
      </c>
      <c r="D54" s="7" t="s">
        <v>338</v>
      </c>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row>
    <row r="55" customFormat="false" ht="27.75" hidden="false" customHeight="true" outlineLevel="0" collapsed="false">
      <c r="A55" s="7" t="s">
        <v>86</v>
      </c>
      <c r="B55" s="7" t="s">
        <v>288</v>
      </c>
      <c r="C55" s="9" t="s">
        <v>339</v>
      </c>
      <c r="D55" s="9" t="s">
        <v>304</v>
      </c>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row>
    <row r="56" customFormat="false" ht="27.75" hidden="false" customHeight="true" outlineLevel="0" collapsed="false">
      <c r="A56" s="7" t="s">
        <v>87</v>
      </c>
      <c r="B56" s="7" t="s">
        <v>288</v>
      </c>
      <c r="C56" s="9" t="s">
        <v>340</v>
      </c>
      <c r="D56" s="7" t="s">
        <v>341</v>
      </c>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row>
    <row r="57" customFormat="false" ht="27.75" hidden="false" customHeight="true" outlineLevel="0" collapsed="false">
      <c r="A57" s="7" t="s">
        <v>88</v>
      </c>
      <c r="B57" s="7" t="s">
        <v>288</v>
      </c>
      <c r="C57" s="9" t="s">
        <v>342</v>
      </c>
      <c r="D57" s="9" t="s">
        <v>304</v>
      </c>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row>
    <row r="58" customFormat="false" ht="27.75" hidden="false" customHeight="true" outlineLevel="0" collapsed="false">
      <c r="A58" s="7" t="s">
        <v>89</v>
      </c>
      <c r="B58" s="7" t="s">
        <v>288</v>
      </c>
      <c r="C58" s="9" t="s">
        <v>343</v>
      </c>
      <c r="D58" s="9" t="s">
        <v>304</v>
      </c>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row>
    <row r="59" customFormat="false" ht="27.75" hidden="false" customHeight="true" outlineLevel="0" collapsed="false">
      <c r="A59" s="7" t="s">
        <v>90</v>
      </c>
      <c r="B59" s="7" t="s">
        <v>310</v>
      </c>
      <c r="C59" s="9" t="s">
        <v>344</v>
      </c>
      <c r="D59" s="9" t="s">
        <v>345</v>
      </c>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row>
    <row r="60" customFormat="false" ht="27.75" hidden="false" customHeight="true" outlineLevel="0" collapsed="false">
      <c r="A60" s="7" t="s">
        <v>91</v>
      </c>
      <c r="B60" s="7" t="s">
        <v>288</v>
      </c>
      <c r="C60" s="7" t="s">
        <v>346</v>
      </c>
      <c r="D60" s="9" t="s">
        <v>304</v>
      </c>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row>
    <row r="61" customFormat="false" ht="27.75" hidden="false" customHeight="true" outlineLevel="0" collapsed="false">
      <c r="A61" s="7" t="s">
        <v>92</v>
      </c>
      <c r="B61" s="7" t="s">
        <v>288</v>
      </c>
      <c r="C61" s="7" t="s">
        <v>347</v>
      </c>
      <c r="D61" s="9" t="s">
        <v>304</v>
      </c>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row>
    <row r="62" customFormat="false" ht="27.75" hidden="false" customHeight="true" outlineLevel="0" collapsed="false">
      <c r="A62" s="7" t="s">
        <v>93</v>
      </c>
      <c r="B62" s="7" t="s">
        <v>310</v>
      </c>
      <c r="C62" s="7" t="s">
        <v>348</v>
      </c>
      <c r="D62" s="9" t="s">
        <v>345</v>
      </c>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row>
    <row r="63" customFormat="false" ht="27.75" hidden="false" customHeight="true" outlineLevel="0" collapsed="false">
      <c r="A63" s="7" t="s">
        <v>94</v>
      </c>
      <c r="B63" s="7" t="s">
        <v>288</v>
      </c>
      <c r="C63" s="9" t="s">
        <v>349</v>
      </c>
      <c r="D63" s="9" t="s">
        <v>350</v>
      </c>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row>
    <row r="64" customFormat="false" ht="16.5" hidden="false" customHeight="true" outlineLevel="0" collapsed="false">
      <c r="A64" s="7" t="s">
        <v>95</v>
      </c>
      <c r="B64" s="7" t="s">
        <v>236</v>
      </c>
      <c r="C64" s="9" t="s">
        <v>351</v>
      </c>
      <c r="D64" s="9" t="s">
        <v>352</v>
      </c>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row>
    <row r="65" customFormat="false" ht="16.5" hidden="false" customHeight="true" outlineLevel="0" collapsed="false">
      <c r="A65" s="7" t="s">
        <v>96</v>
      </c>
      <c r="B65" s="7" t="s">
        <v>236</v>
      </c>
      <c r="C65" s="9" t="s">
        <v>353</v>
      </c>
      <c r="D65" s="7" t="s">
        <v>354</v>
      </c>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row>
    <row r="66" customFormat="false" ht="16.5" hidden="false" customHeight="true" outlineLevel="0" collapsed="false">
      <c r="A66" s="7" t="s">
        <v>97</v>
      </c>
      <c r="B66" s="7" t="s">
        <v>241</v>
      </c>
      <c r="C66" s="7" t="s">
        <v>355</v>
      </c>
      <c r="D66" s="7" t="s">
        <v>356</v>
      </c>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row>
    <row r="67" customFormat="false" ht="27.75" hidden="false" customHeight="true" outlineLevel="0" collapsed="false">
      <c r="A67" s="7" t="s">
        <v>98</v>
      </c>
      <c r="B67" s="7" t="s">
        <v>241</v>
      </c>
      <c r="C67" s="9" t="s">
        <v>357</v>
      </c>
      <c r="D67" s="7" t="s">
        <v>358</v>
      </c>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row>
    <row r="68" customFormat="false" ht="16.5" hidden="false" customHeight="true" outlineLevel="0" collapsed="false">
      <c r="A68" s="7" t="s">
        <v>99</v>
      </c>
      <c r="B68" s="7" t="s">
        <v>236</v>
      </c>
      <c r="C68" s="9" t="s">
        <v>359</v>
      </c>
      <c r="D68" s="7" t="s">
        <v>360</v>
      </c>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row>
    <row r="69" customFormat="false" ht="16.5" hidden="false" customHeight="true" outlineLevel="0" collapsed="false">
      <c r="A69" s="7" t="s">
        <v>100</v>
      </c>
      <c r="B69" s="7" t="s">
        <v>236</v>
      </c>
      <c r="C69" s="9" t="s">
        <v>361</v>
      </c>
      <c r="D69" s="7" t="s">
        <v>362</v>
      </c>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row>
    <row r="70" customFormat="false" ht="16.5" hidden="false" customHeight="true" outlineLevel="0" collapsed="false">
      <c r="A70" s="7" t="s">
        <v>101</v>
      </c>
      <c r="B70" s="7" t="s">
        <v>236</v>
      </c>
      <c r="C70" s="9" t="s">
        <v>363</v>
      </c>
      <c r="D70" s="9" t="s">
        <v>364</v>
      </c>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row>
    <row r="71" customFormat="false" ht="15" hidden="false" customHeight="true" outlineLevel="0" collapsed="false">
      <c r="A71" s="7"/>
      <c r="B71" s="7"/>
      <c r="C71" s="7"/>
      <c r="D71" s="7"/>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row>
    <row r="72" customFormat="false" ht="15" hidden="false" customHeight="true" outlineLevel="0" collapsed="false">
      <c r="A72" s="7"/>
      <c r="B72" s="7"/>
      <c r="C72" s="7"/>
      <c r="D72" s="7"/>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row>
    <row r="73" customFormat="false" ht="15" hidden="false" customHeight="true" outlineLevel="0" collapsed="false">
      <c r="A73" s="7"/>
      <c r="B73" s="7"/>
      <c r="C73" s="7"/>
      <c r="D73" s="7"/>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row>
    <row r="74" customFormat="false" ht="15" hidden="false" customHeight="true" outlineLevel="0" collapsed="false">
      <c r="A74" s="7"/>
      <c r="B74" s="7"/>
      <c r="C74" s="7"/>
      <c r="D74" s="7"/>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row>
    <row r="75" customFormat="false" ht="15" hidden="false" customHeight="true" outlineLevel="0" collapsed="false">
      <c r="A75" s="7"/>
      <c r="B75" s="7"/>
      <c r="C75" s="7"/>
      <c r="D75" s="7"/>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row>
    <row r="76" customFormat="false" ht="15" hidden="false" customHeight="true" outlineLevel="0" collapsed="false">
      <c r="A76" s="7"/>
      <c r="B76" s="7"/>
      <c r="C76" s="7"/>
      <c r="D76" s="7"/>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row>
    <row r="77" customFormat="false" ht="15" hidden="false" customHeight="true" outlineLevel="0" collapsed="false">
      <c r="A77" s="7"/>
      <c r="B77" s="7"/>
      <c r="C77" s="7"/>
      <c r="D77" s="7"/>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row>
    <row r="78" customFormat="false" ht="15" hidden="false" customHeight="true" outlineLevel="0" collapsed="false">
      <c r="A78" s="7"/>
      <c r="B78" s="7"/>
      <c r="C78" s="7"/>
      <c r="D78" s="7"/>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row>
    <row r="79" customFormat="false" ht="15" hidden="false" customHeight="true" outlineLevel="0" collapsed="false">
      <c r="A79" s="7"/>
      <c r="B79" s="7"/>
      <c r="C79" s="7"/>
      <c r="D79" s="7"/>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row>
    <row r="80" customFormat="false" ht="15" hidden="false" customHeight="true" outlineLevel="0" collapsed="false">
      <c r="A80" s="7"/>
      <c r="B80" s="7"/>
      <c r="C80" s="7"/>
      <c r="D80" s="7"/>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row>
    <row r="81" customFormat="false" ht="15" hidden="false" customHeight="true" outlineLevel="0" collapsed="false">
      <c r="A81" s="7"/>
      <c r="B81" s="7"/>
      <c r="C81" s="7"/>
      <c r="D81" s="7"/>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row>
    <row r="82" customFormat="false" ht="15" hidden="false" customHeight="true" outlineLevel="0" collapsed="false">
      <c r="A82" s="7"/>
      <c r="B82" s="7"/>
      <c r="C82" s="7"/>
      <c r="D82" s="7"/>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row>
    <row r="83" customFormat="false" ht="15" hidden="false" customHeight="true" outlineLevel="0" collapsed="false">
      <c r="A83" s="7"/>
      <c r="B83" s="7"/>
      <c r="C83" s="7"/>
      <c r="D83" s="7"/>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row>
    <row r="84" customFormat="false" ht="15" hidden="false" customHeight="true" outlineLevel="0" collapsed="false">
      <c r="A84" s="7"/>
      <c r="B84" s="7"/>
      <c r="C84" s="7"/>
      <c r="D84" s="7"/>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row>
    <row r="85" customFormat="false" ht="15" hidden="false" customHeight="true" outlineLevel="0" collapsed="false">
      <c r="A85" s="7"/>
      <c r="B85" s="7"/>
      <c r="C85" s="7"/>
      <c r="D85" s="7"/>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row>
    <row r="86" customFormat="false" ht="15" hidden="false" customHeight="true" outlineLevel="0" collapsed="false">
      <c r="A86" s="7"/>
      <c r="B86" s="7"/>
      <c r="C86" s="7"/>
      <c r="D86" s="7"/>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row>
    <row r="87" customFormat="false" ht="15" hidden="false" customHeight="true" outlineLevel="0" collapsed="false">
      <c r="A87" s="7"/>
      <c r="B87" s="7"/>
      <c r="C87" s="7"/>
      <c r="D87" s="7"/>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row>
    <row r="88" customFormat="false" ht="15" hidden="false" customHeight="true" outlineLevel="0" collapsed="false">
      <c r="A88" s="7"/>
      <c r="B88" s="7"/>
      <c r="C88" s="7"/>
      <c r="D88" s="7"/>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row>
    <row r="89" customFormat="false" ht="15" hidden="false" customHeight="true" outlineLevel="0" collapsed="false">
      <c r="A89" s="7"/>
      <c r="B89" s="7"/>
      <c r="C89" s="7"/>
      <c r="D89" s="7"/>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row>
    <row r="90" customFormat="false" ht="15" hidden="false" customHeight="true" outlineLevel="0" collapsed="false">
      <c r="A90" s="7"/>
      <c r="B90" s="7"/>
      <c r="C90" s="7"/>
      <c r="D90" s="7"/>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row>
    <row r="91" customFormat="false" ht="15" hidden="false" customHeight="true" outlineLevel="0" collapsed="false">
      <c r="A91" s="7"/>
      <c r="B91" s="7"/>
      <c r="C91" s="7"/>
      <c r="D91" s="7"/>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row>
    <row r="92" customFormat="false" ht="15" hidden="false" customHeight="true" outlineLevel="0" collapsed="false">
      <c r="A92" s="7"/>
      <c r="B92" s="7"/>
      <c r="C92" s="7"/>
      <c r="D92" s="7"/>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row>
    <row r="93" customFormat="false" ht="15" hidden="false" customHeight="true" outlineLevel="0" collapsed="false">
      <c r="A93" s="7"/>
      <c r="B93" s="7"/>
      <c r="C93" s="7"/>
      <c r="D93" s="7"/>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row>
    <row r="94" customFormat="false" ht="15" hidden="false" customHeight="true" outlineLevel="0" collapsed="false">
      <c r="A94" s="7"/>
      <c r="B94" s="7"/>
      <c r="C94" s="7"/>
      <c r="D94" s="7"/>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row>
    <row r="95" customFormat="false" ht="15" hidden="false" customHeight="true" outlineLevel="0" collapsed="false">
      <c r="A95" s="7"/>
      <c r="B95" s="7"/>
      <c r="C95" s="7"/>
      <c r="D95" s="7"/>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row>
    <row r="96" customFormat="false" ht="15" hidden="false" customHeight="true" outlineLevel="0" collapsed="false">
      <c r="A96" s="7"/>
      <c r="B96" s="7"/>
      <c r="C96" s="7"/>
      <c r="D96" s="7"/>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row>
    <row r="97" customFormat="false" ht="15" hidden="false" customHeight="true" outlineLevel="0" collapsed="false">
      <c r="A97" s="7"/>
      <c r="B97" s="7"/>
      <c r="C97" s="7"/>
      <c r="D97" s="7"/>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row>
    <row r="98" customFormat="false" ht="15" hidden="false" customHeight="true" outlineLevel="0" collapsed="false">
      <c r="A98" s="7"/>
      <c r="B98" s="7"/>
      <c r="C98" s="7"/>
      <c r="D98" s="7"/>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row>
    <row r="99" customFormat="false" ht="15" hidden="false" customHeight="true" outlineLevel="0" collapsed="false">
      <c r="A99" s="7"/>
      <c r="B99" s="7"/>
      <c r="C99" s="7"/>
      <c r="D99" s="7"/>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row>
    <row r="100" customFormat="false" ht="15" hidden="false" customHeight="true" outlineLevel="0" collapsed="false">
      <c r="A100" s="7"/>
      <c r="B100" s="7"/>
      <c r="C100" s="7"/>
      <c r="D100" s="7"/>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row>
    <row r="101" customFormat="false" ht="15" hidden="false" customHeight="true" outlineLevel="0" collapsed="false">
      <c r="A101" s="7"/>
      <c r="B101" s="7"/>
      <c r="C101" s="7"/>
      <c r="D101" s="7"/>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row>
    <row r="102" customFormat="false" ht="15" hidden="false" customHeight="true" outlineLevel="0" collapsed="false">
      <c r="A102" s="7"/>
      <c r="B102" s="7"/>
      <c r="C102" s="7"/>
      <c r="D102" s="7"/>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row>
    <row r="103" customFormat="false" ht="15" hidden="false" customHeight="true" outlineLevel="0" collapsed="false">
      <c r="A103" s="7"/>
      <c r="B103" s="7"/>
      <c r="C103" s="7"/>
      <c r="D103" s="7"/>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row>
    <row r="104" customFormat="false" ht="15" hidden="false" customHeight="true" outlineLevel="0" collapsed="false">
      <c r="A104" s="7"/>
      <c r="B104" s="7"/>
      <c r="C104" s="7"/>
      <c r="D104" s="7"/>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row>
    <row r="105" customFormat="false" ht="15" hidden="false" customHeight="true" outlineLevel="0" collapsed="false">
      <c r="A105" s="7"/>
      <c r="B105" s="7"/>
      <c r="C105" s="7"/>
      <c r="D105" s="7"/>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row>
    <row r="106" customFormat="false" ht="15" hidden="false" customHeight="true" outlineLevel="0" collapsed="false">
      <c r="A106" s="7"/>
      <c r="B106" s="7"/>
      <c r="C106" s="7"/>
      <c r="D106" s="7"/>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row>
    <row r="107" customFormat="false" ht="15" hidden="false" customHeight="true" outlineLevel="0" collapsed="false">
      <c r="A107" s="7"/>
      <c r="B107" s="7"/>
      <c r="C107" s="7"/>
      <c r="D107" s="7"/>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row>
    <row r="108" customFormat="false" ht="15" hidden="false" customHeight="true" outlineLevel="0" collapsed="false">
      <c r="A108" s="7"/>
      <c r="B108" s="7"/>
      <c r="C108" s="7"/>
      <c r="D108" s="7"/>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row>
    <row r="109" customFormat="false" ht="15" hidden="false" customHeight="true" outlineLevel="0" collapsed="false">
      <c r="A109" s="7"/>
      <c r="B109" s="7"/>
      <c r="C109" s="7"/>
      <c r="D109" s="7"/>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row>
    <row r="110" customFormat="false" ht="15" hidden="false" customHeight="true" outlineLevel="0" collapsed="false">
      <c r="A110" s="7"/>
      <c r="B110" s="7"/>
      <c r="C110" s="7"/>
      <c r="D110" s="7"/>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row>
    <row r="111" customFormat="false" ht="15" hidden="false" customHeight="true" outlineLevel="0" collapsed="false">
      <c r="A111" s="7"/>
      <c r="B111" s="7"/>
      <c r="C111" s="7"/>
      <c r="D111" s="7"/>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row>
    <row r="112" customFormat="false" ht="15" hidden="false" customHeight="true" outlineLevel="0" collapsed="false">
      <c r="A112" s="7"/>
      <c r="B112" s="7"/>
      <c r="C112" s="7"/>
      <c r="D112" s="7"/>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row>
    <row r="113" customFormat="false" ht="15" hidden="false" customHeight="true" outlineLevel="0" collapsed="false">
      <c r="A113" s="7"/>
      <c r="B113" s="7"/>
      <c r="C113" s="7"/>
      <c r="D113" s="7"/>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row>
    <row r="114" customFormat="false" ht="15" hidden="false" customHeight="true" outlineLevel="0" collapsed="false">
      <c r="A114" s="7"/>
      <c r="B114" s="7"/>
      <c r="C114" s="7"/>
      <c r="D114" s="7"/>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row>
    <row r="115" customFormat="false" ht="15" hidden="false" customHeight="true" outlineLevel="0" collapsed="false">
      <c r="A115" s="7"/>
      <c r="B115" s="7"/>
      <c r="C115" s="7"/>
      <c r="D115" s="7"/>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row>
    <row r="116" customFormat="false" ht="15" hidden="false" customHeight="true" outlineLevel="0" collapsed="false">
      <c r="A116" s="7"/>
      <c r="B116" s="7"/>
      <c r="C116" s="7"/>
      <c r="D116" s="7"/>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row>
    <row r="117" customFormat="false" ht="15" hidden="false" customHeight="true" outlineLevel="0" collapsed="false">
      <c r="A117" s="7"/>
      <c r="B117" s="7"/>
      <c r="C117" s="7"/>
      <c r="D117" s="7"/>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row>
    <row r="118" customFormat="false" ht="15" hidden="false" customHeight="true" outlineLevel="0" collapsed="false">
      <c r="A118" s="7"/>
      <c r="B118" s="7"/>
      <c r="C118" s="7"/>
      <c r="D118" s="7"/>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row>
    <row r="119" customFormat="false" ht="15" hidden="false" customHeight="true" outlineLevel="0" collapsed="false">
      <c r="A119" s="7"/>
      <c r="B119" s="7"/>
      <c r="C119" s="7"/>
      <c r="D119" s="7"/>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row>
    <row r="120" customFormat="false" ht="15" hidden="false" customHeight="true" outlineLevel="0" collapsed="false">
      <c r="A120" s="7"/>
      <c r="B120" s="7"/>
      <c r="C120" s="7"/>
      <c r="D120" s="7"/>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row>
    <row r="121" customFormat="false" ht="15" hidden="false" customHeight="true" outlineLevel="0" collapsed="false">
      <c r="A121" s="7"/>
      <c r="B121" s="7"/>
      <c r="C121" s="7"/>
      <c r="D121" s="7"/>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row>
    <row r="122" customFormat="false" ht="15" hidden="false" customHeight="true" outlineLevel="0" collapsed="false">
      <c r="A122" s="7"/>
      <c r="B122" s="7"/>
      <c r="C122" s="7"/>
      <c r="D122" s="7"/>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row>
    <row r="123" customFormat="false" ht="15" hidden="false" customHeight="true" outlineLevel="0" collapsed="false">
      <c r="A123" s="7"/>
      <c r="B123" s="7"/>
      <c r="C123" s="7"/>
      <c r="D123" s="7"/>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row>
    <row r="124" customFormat="false" ht="15" hidden="false" customHeight="true" outlineLevel="0" collapsed="false">
      <c r="A124" s="7"/>
      <c r="B124" s="7"/>
      <c r="C124" s="7"/>
      <c r="D124" s="7"/>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row>
    <row r="125" customFormat="false" ht="15" hidden="false" customHeight="true" outlineLevel="0" collapsed="false">
      <c r="A125" s="7"/>
      <c r="B125" s="7"/>
      <c r="C125" s="7"/>
      <c r="D125" s="7"/>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row>
    <row r="126" customFormat="false" ht="15" hidden="false" customHeight="true" outlineLevel="0" collapsed="false">
      <c r="A126" s="7"/>
      <c r="B126" s="7"/>
      <c r="C126" s="7"/>
      <c r="D126" s="7"/>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row>
    <row r="127" customFormat="false" ht="15" hidden="false" customHeight="true" outlineLevel="0" collapsed="false">
      <c r="A127" s="7"/>
      <c r="B127" s="7"/>
      <c r="C127" s="7"/>
      <c r="D127" s="7"/>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row>
    <row r="128" customFormat="false" ht="15" hidden="false" customHeight="true" outlineLevel="0" collapsed="false">
      <c r="A128" s="7"/>
      <c r="B128" s="7"/>
      <c r="C128" s="7"/>
      <c r="D128" s="7"/>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row>
    <row r="129" customFormat="false" ht="15" hidden="false" customHeight="true" outlineLevel="0" collapsed="false">
      <c r="A129" s="7"/>
      <c r="B129" s="7"/>
      <c r="C129" s="7"/>
      <c r="D129" s="7"/>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row>
    <row r="130" customFormat="false" ht="15" hidden="false" customHeight="true" outlineLevel="0" collapsed="false">
      <c r="A130" s="7"/>
      <c r="B130" s="7"/>
      <c r="C130" s="7"/>
      <c r="D130" s="7"/>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row>
    <row r="131" customFormat="false" ht="15" hidden="false" customHeight="true" outlineLevel="0" collapsed="false">
      <c r="A131" s="7"/>
      <c r="B131" s="7"/>
      <c r="C131" s="7"/>
      <c r="D131" s="7"/>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row>
    <row r="132" customFormat="false" ht="15" hidden="false" customHeight="true" outlineLevel="0" collapsed="false">
      <c r="A132" s="7"/>
      <c r="B132" s="7"/>
      <c r="C132" s="7"/>
      <c r="D132" s="7"/>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row>
    <row r="133" customFormat="false" ht="15" hidden="false" customHeight="true" outlineLevel="0" collapsed="false">
      <c r="A133" s="7"/>
      <c r="B133" s="7"/>
      <c r="C133" s="7"/>
      <c r="D133" s="7"/>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row>
    <row r="134" customFormat="false" ht="15" hidden="false" customHeight="true" outlineLevel="0" collapsed="false">
      <c r="A134" s="7"/>
      <c r="B134" s="7"/>
      <c r="C134" s="7"/>
      <c r="D134" s="7"/>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row>
    <row r="135" customFormat="false" ht="15" hidden="false" customHeight="true" outlineLevel="0" collapsed="false">
      <c r="A135" s="7"/>
      <c r="B135" s="7"/>
      <c r="C135" s="7"/>
      <c r="D135" s="7"/>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row>
    <row r="136" customFormat="false" ht="15" hidden="false" customHeight="true" outlineLevel="0" collapsed="false">
      <c r="A136" s="7"/>
      <c r="B136" s="7"/>
      <c r="C136" s="7"/>
      <c r="D136" s="7"/>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row>
    <row r="137" customFormat="false" ht="15" hidden="false" customHeight="true" outlineLevel="0" collapsed="false">
      <c r="A137" s="7"/>
      <c r="B137" s="7"/>
      <c r="C137" s="7"/>
      <c r="D137" s="7"/>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row>
    <row r="138" customFormat="false" ht="15" hidden="false" customHeight="true" outlineLevel="0" collapsed="false">
      <c r="A138" s="7"/>
      <c r="B138" s="7"/>
      <c r="C138" s="7"/>
      <c r="D138" s="7"/>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row>
    <row r="139" customFormat="false" ht="15" hidden="false" customHeight="true" outlineLevel="0" collapsed="false">
      <c r="A139" s="7"/>
      <c r="B139" s="7"/>
      <c r="C139" s="7"/>
      <c r="D139" s="7"/>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row>
    <row r="140" customFormat="false" ht="15" hidden="false" customHeight="true" outlineLevel="0" collapsed="false">
      <c r="A140" s="7"/>
      <c r="B140" s="7"/>
      <c r="C140" s="7"/>
      <c r="D140" s="7"/>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row>
    <row r="141" customFormat="false" ht="15" hidden="false" customHeight="true" outlineLevel="0" collapsed="false">
      <c r="A141" s="7"/>
      <c r="B141" s="7"/>
      <c r="C141" s="7"/>
      <c r="D141" s="7"/>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row>
    <row r="142" customFormat="false" ht="15" hidden="false" customHeight="true" outlineLevel="0" collapsed="false">
      <c r="A142" s="7"/>
      <c r="B142" s="7"/>
      <c r="C142" s="7"/>
      <c r="D142" s="7"/>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row>
    <row r="143" customFormat="false" ht="15" hidden="false" customHeight="true" outlineLevel="0" collapsed="false">
      <c r="A143" s="7"/>
      <c r="B143" s="7"/>
      <c r="C143" s="7"/>
      <c r="D143" s="7"/>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row>
    <row r="144" customFormat="false" ht="15" hidden="false" customHeight="true" outlineLevel="0" collapsed="false">
      <c r="A144" s="7"/>
      <c r="B144" s="7"/>
      <c r="C144" s="7"/>
      <c r="D144" s="7"/>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row>
    <row r="145" customFormat="false" ht="15" hidden="false" customHeight="true" outlineLevel="0" collapsed="false">
      <c r="A145" s="7"/>
      <c r="B145" s="7"/>
      <c r="C145" s="7"/>
      <c r="D145" s="7"/>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row>
    <row r="146" customFormat="false" ht="15" hidden="false" customHeight="true" outlineLevel="0" collapsed="false">
      <c r="A146" s="7"/>
      <c r="B146" s="7"/>
      <c r="C146" s="7"/>
      <c r="D146" s="7"/>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row>
    <row r="147" customFormat="false" ht="15" hidden="false" customHeight="true" outlineLevel="0" collapsed="false">
      <c r="A147" s="7"/>
      <c r="B147" s="7"/>
      <c r="C147" s="7"/>
      <c r="D147" s="7"/>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row>
    <row r="148" customFormat="false" ht="15" hidden="false" customHeight="true" outlineLevel="0" collapsed="false">
      <c r="A148" s="7"/>
      <c r="B148" s="7"/>
      <c r="C148" s="7"/>
      <c r="D148" s="7"/>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row>
    <row r="149" customFormat="false" ht="15" hidden="false" customHeight="true" outlineLevel="0" collapsed="false">
      <c r="A149" s="7"/>
      <c r="B149" s="7"/>
      <c r="C149" s="7"/>
      <c r="D149" s="7"/>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row>
    <row r="150" customFormat="false" ht="15" hidden="false" customHeight="true" outlineLevel="0" collapsed="false">
      <c r="A150" s="7"/>
      <c r="B150" s="7"/>
      <c r="C150" s="7"/>
      <c r="D150" s="7"/>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row>
    <row r="151" customFormat="false" ht="15" hidden="false" customHeight="true" outlineLevel="0" collapsed="false">
      <c r="A151" s="7"/>
      <c r="B151" s="7"/>
      <c r="C151" s="7"/>
      <c r="D151" s="7"/>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row>
    <row r="152" customFormat="false" ht="15" hidden="false" customHeight="true" outlineLevel="0" collapsed="false">
      <c r="A152" s="7"/>
      <c r="B152" s="7"/>
      <c r="C152" s="7"/>
      <c r="D152" s="7"/>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row>
    <row r="153" customFormat="false" ht="15" hidden="false" customHeight="true" outlineLevel="0" collapsed="false">
      <c r="A153" s="7"/>
      <c r="B153" s="7"/>
      <c r="C153" s="7"/>
      <c r="D153" s="7"/>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row>
    <row r="154" customFormat="false" ht="15" hidden="false" customHeight="true" outlineLevel="0" collapsed="false">
      <c r="A154" s="7"/>
      <c r="B154" s="7"/>
      <c r="C154" s="7"/>
      <c r="D154" s="7"/>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row>
    <row r="155" customFormat="false" ht="15" hidden="false" customHeight="true" outlineLevel="0" collapsed="false">
      <c r="A155" s="7"/>
      <c r="B155" s="7"/>
      <c r="C155" s="7"/>
      <c r="D155" s="7"/>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row>
    <row r="156" customFormat="false" ht="15" hidden="false" customHeight="true" outlineLevel="0" collapsed="false">
      <c r="A156" s="7"/>
      <c r="B156" s="7"/>
      <c r="C156" s="7"/>
      <c r="D156" s="7"/>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row>
    <row r="157" customFormat="false" ht="15" hidden="false" customHeight="true" outlineLevel="0" collapsed="false">
      <c r="A157" s="7"/>
      <c r="B157" s="7"/>
      <c r="C157" s="7"/>
      <c r="D157" s="7"/>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row>
    <row r="158" customFormat="false" ht="15" hidden="false" customHeight="true" outlineLevel="0" collapsed="false">
      <c r="A158" s="7"/>
      <c r="B158" s="7"/>
      <c r="C158" s="7"/>
      <c r="D158" s="7"/>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row>
    <row r="159" customFormat="false" ht="15" hidden="false" customHeight="true" outlineLevel="0" collapsed="false">
      <c r="A159" s="7"/>
      <c r="B159" s="7"/>
      <c r="C159" s="7"/>
      <c r="D159" s="7"/>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row>
    <row r="160" customFormat="false" ht="15" hidden="false" customHeight="true" outlineLevel="0" collapsed="false">
      <c r="A160" s="7"/>
      <c r="B160" s="7"/>
      <c r="C160" s="7"/>
      <c r="D160" s="7"/>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row>
    <row r="161" customFormat="false" ht="15" hidden="false" customHeight="true" outlineLevel="0" collapsed="false">
      <c r="A161" s="7"/>
      <c r="B161" s="7"/>
      <c r="C161" s="7"/>
      <c r="D161" s="7"/>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row>
    <row r="162" customFormat="false" ht="15" hidden="false" customHeight="true" outlineLevel="0" collapsed="false">
      <c r="A162" s="7"/>
      <c r="B162" s="7"/>
      <c r="C162" s="7"/>
      <c r="D162" s="7"/>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row>
    <row r="163" customFormat="false" ht="15" hidden="false" customHeight="true" outlineLevel="0" collapsed="false">
      <c r="A163" s="7"/>
      <c r="B163" s="7"/>
      <c r="C163" s="7"/>
      <c r="D163" s="7"/>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row>
    <row r="164" customFormat="false" ht="15" hidden="false" customHeight="true" outlineLevel="0" collapsed="false">
      <c r="A164" s="7"/>
      <c r="B164" s="7"/>
      <c r="C164" s="7"/>
      <c r="D164" s="7"/>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row>
    <row r="165" customFormat="false" ht="15" hidden="false" customHeight="true" outlineLevel="0" collapsed="false">
      <c r="A165" s="7"/>
      <c r="B165" s="7"/>
      <c r="C165" s="7"/>
      <c r="D165" s="7"/>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row>
    <row r="166" customFormat="false" ht="15" hidden="false" customHeight="true" outlineLevel="0" collapsed="false">
      <c r="A166" s="7"/>
      <c r="B166" s="7"/>
      <c r="C166" s="7"/>
      <c r="D166" s="7"/>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row>
    <row r="167" customFormat="false" ht="15" hidden="false" customHeight="true" outlineLevel="0" collapsed="false">
      <c r="A167" s="7"/>
      <c r="B167" s="7"/>
      <c r="C167" s="7"/>
      <c r="D167" s="7"/>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row>
    <row r="168" customFormat="false" ht="15" hidden="false" customHeight="true" outlineLevel="0" collapsed="false">
      <c r="A168" s="7"/>
      <c r="B168" s="7"/>
      <c r="C168" s="7"/>
      <c r="D168" s="7"/>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row>
    <row r="169" customFormat="false" ht="15" hidden="false" customHeight="true" outlineLevel="0" collapsed="false">
      <c r="A169" s="7"/>
      <c r="B169" s="7"/>
      <c r="C169" s="7"/>
      <c r="D169" s="7"/>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row>
    <row r="170" customFormat="false" ht="15" hidden="false" customHeight="true" outlineLevel="0" collapsed="false">
      <c r="A170" s="7"/>
      <c r="B170" s="7"/>
      <c r="C170" s="7"/>
      <c r="D170" s="7"/>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row>
    <row r="171" customFormat="false" ht="15" hidden="false" customHeight="true" outlineLevel="0" collapsed="false">
      <c r="A171" s="7"/>
      <c r="B171" s="7"/>
      <c r="C171" s="7"/>
      <c r="D171" s="7"/>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row>
    <row r="172" customFormat="false" ht="15" hidden="false" customHeight="true" outlineLevel="0" collapsed="false">
      <c r="A172" s="7"/>
      <c r="B172" s="7"/>
      <c r="C172" s="7"/>
      <c r="D172" s="7"/>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row>
    <row r="173" customFormat="false" ht="15" hidden="false" customHeight="true" outlineLevel="0" collapsed="false">
      <c r="A173" s="7"/>
      <c r="B173" s="7"/>
      <c r="C173" s="7"/>
      <c r="D173" s="7"/>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row>
    <row r="174" customFormat="false" ht="15" hidden="false" customHeight="true" outlineLevel="0" collapsed="false">
      <c r="A174" s="7"/>
      <c r="B174" s="7"/>
      <c r="C174" s="7"/>
      <c r="D174" s="7"/>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row>
    <row r="175" customFormat="false" ht="15" hidden="false" customHeight="true" outlineLevel="0" collapsed="false">
      <c r="A175" s="7"/>
      <c r="B175" s="7"/>
      <c r="C175" s="7"/>
      <c r="D175" s="7"/>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row>
    <row r="176" customFormat="false" ht="15" hidden="false" customHeight="true" outlineLevel="0" collapsed="false">
      <c r="A176" s="7"/>
      <c r="B176" s="7"/>
      <c r="C176" s="7"/>
      <c r="D176" s="7"/>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row>
    <row r="177" customFormat="false" ht="15" hidden="false" customHeight="true" outlineLevel="0" collapsed="false">
      <c r="A177" s="7"/>
      <c r="B177" s="7"/>
      <c r="C177" s="7"/>
      <c r="D177" s="7"/>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row>
    <row r="178" customFormat="false" ht="15" hidden="false" customHeight="true" outlineLevel="0" collapsed="false">
      <c r="A178" s="7"/>
      <c r="B178" s="7"/>
      <c r="C178" s="7"/>
      <c r="D178" s="7"/>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row>
    <row r="179" customFormat="false" ht="15" hidden="false" customHeight="true" outlineLevel="0" collapsed="false">
      <c r="A179" s="7"/>
      <c r="B179" s="7"/>
      <c r="C179" s="7"/>
      <c r="D179" s="7"/>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row>
    <row r="180" customFormat="false" ht="15" hidden="false" customHeight="true" outlineLevel="0" collapsed="false">
      <c r="A180" s="7"/>
      <c r="B180" s="7"/>
      <c r="C180" s="7"/>
      <c r="D180" s="7"/>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row>
    <row r="181" customFormat="false" ht="15" hidden="false" customHeight="true" outlineLevel="0" collapsed="false">
      <c r="A181" s="7"/>
      <c r="B181" s="7"/>
      <c r="C181" s="7"/>
      <c r="D181" s="7"/>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row>
    <row r="182" customFormat="false" ht="15" hidden="false" customHeight="true" outlineLevel="0" collapsed="false">
      <c r="A182" s="7"/>
      <c r="B182" s="7"/>
      <c r="C182" s="7"/>
      <c r="D182" s="7"/>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row>
    <row r="183" customFormat="false" ht="15" hidden="false" customHeight="true" outlineLevel="0" collapsed="false">
      <c r="A183" s="7"/>
      <c r="B183" s="7"/>
      <c r="C183" s="7"/>
      <c r="D183" s="7"/>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row>
    <row r="184" customFormat="false" ht="15" hidden="false" customHeight="true" outlineLevel="0" collapsed="false">
      <c r="A184" s="7"/>
      <c r="B184" s="7"/>
      <c r="C184" s="7"/>
      <c r="D184" s="7"/>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row>
    <row r="185" customFormat="false" ht="15" hidden="false" customHeight="true" outlineLevel="0" collapsed="false">
      <c r="A185" s="7"/>
      <c r="B185" s="7"/>
      <c r="C185" s="7"/>
      <c r="D185" s="7"/>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row>
    <row r="186" customFormat="false" ht="15" hidden="false" customHeight="true" outlineLevel="0" collapsed="false">
      <c r="A186" s="7"/>
      <c r="B186" s="7"/>
      <c r="C186" s="7"/>
      <c r="D186" s="7"/>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row>
    <row r="187" customFormat="false" ht="15" hidden="false" customHeight="true" outlineLevel="0" collapsed="false">
      <c r="A187" s="7"/>
      <c r="B187" s="7"/>
      <c r="C187" s="7"/>
      <c r="D187" s="7"/>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row>
    <row r="188" customFormat="false" ht="15" hidden="false" customHeight="true" outlineLevel="0" collapsed="false">
      <c r="A188" s="7"/>
      <c r="B188" s="7"/>
      <c r="C188" s="7"/>
      <c r="D188" s="7"/>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row>
    <row r="189" customFormat="false" ht="15" hidden="false" customHeight="true" outlineLevel="0" collapsed="false">
      <c r="A189" s="7"/>
      <c r="B189" s="7"/>
      <c r="C189" s="7"/>
      <c r="D189" s="7"/>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row>
    <row r="190" customFormat="false" ht="15" hidden="false" customHeight="true" outlineLevel="0" collapsed="false">
      <c r="A190" s="7"/>
      <c r="B190" s="7"/>
      <c r="C190" s="7"/>
      <c r="D190" s="7"/>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row>
    <row r="191" customFormat="false" ht="15" hidden="false" customHeight="true" outlineLevel="0" collapsed="false">
      <c r="A191" s="7"/>
      <c r="B191" s="7"/>
      <c r="C191" s="7"/>
      <c r="D191" s="7"/>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row>
    <row r="192" customFormat="false" ht="15" hidden="false" customHeight="true" outlineLevel="0" collapsed="false">
      <c r="A192" s="7"/>
      <c r="B192" s="7"/>
      <c r="C192" s="7"/>
      <c r="D192" s="7"/>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row>
    <row r="193" customFormat="false" ht="15" hidden="false" customHeight="true" outlineLevel="0" collapsed="false">
      <c r="A193" s="7"/>
      <c r="B193" s="7"/>
      <c r="C193" s="7"/>
      <c r="D193" s="7"/>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row>
    <row r="194" customFormat="false" ht="15" hidden="false" customHeight="true" outlineLevel="0" collapsed="false">
      <c r="A194" s="7"/>
      <c r="B194" s="7"/>
      <c r="C194" s="7"/>
      <c r="D194" s="7"/>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row>
    <row r="195" customFormat="false" ht="15" hidden="false" customHeight="true" outlineLevel="0" collapsed="false">
      <c r="A195" s="7"/>
      <c r="B195" s="7"/>
      <c r="C195" s="7"/>
      <c r="D195" s="7"/>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row>
    <row r="196" customFormat="false" ht="15" hidden="false" customHeight="true" outlineLevel="0" collapsed="false">
      <c r="A196" s="7"/>
      <c r="B196" s="7"/>
      <c r="C196" s="7"/>
      <c r="D196" s="7"/>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row>
    <row r="197" customFormat="false" ht="15" hidden="false" customHeight="true" outlineLevel="0" collapsed="false">
      <c r="A197" s="7"/>
      <c r="B197" s="7"/>
      <c r="C197" s="7"/>
      <c r="D197" s="7"/>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row>
    <row r="198" customFormat="false" ht="15" hidden="false" customHeight="true" outlineLevel="0" collapsed="false">
      <c r="A198" s="7"/>
      <c r="B198" s="7"/>
      <c r="C198" s="7"/>
      <c r="D198" s="7"/>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row>
    <row r="199" customFormat="false" ht="15" hidden="false" customHeight="true" outlineLevel="0" collapsed="false">
      <c r="A199" s="7"/>
      <c r="B199" s="7"/>
      <c r="C199" s="7"/>
      <c r="D199" s="7"/>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row>
    <row r="200" customFormat="false" ht="15" hidden="false" customHeight="true" outlineLevel="0" collapsed="false">
      <c r="A200" s="7"/>
      <c r="B200" s="7"/>
      <c r="C200" s="7"/>
      <c r="D200" s="7"/>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25"/>
    <col collapsed="false" customWidth="true" hidden="false" outlineLevel="0" max="2" min="2" style="1" width="12.88"/>
    <col collapsed="false" customWidth="true" hidden="false" outlineLevel="0" max="3" min="3" style="1" width="13.75"/>
    <col collapsed="false" customWidth="true" hidden="false" outlineLevel="0" max="4" min="4" style="1" width="21.25"/>
    <col collapsed="false" customWidth="true" hidden="false" outlineLevel="0" max="5" min="5" style="1" width="21.63"/>
    <col collapsed="false" customWidth="true" hidden="false" outlineLevel="0" max="6" min="6" style="1" width="16.12"/>
    <col collapsed="false" customWidth="true" hidden="false" outlineLevel="0" max="9" min="7" style="1" width="16.38"/>
    <col collapsed="false" customWidth="true" hidden="false" outlineLevel="0" max="10" min="10" style="1" width="20.88"/>
    <col collapsed="false" customWidth="true" hidden="false" outlineLevel="0" max="11" min="11" style="1" width="13.38"/>
    <col collapsed="false" customWidth="true" hidden="false" outlineLevel="0" max="12" min="12" style="1" width="4.88"/>
  </cols>
  <sheetData>
    <row r="1" customFormat="false" ht="30" hidden="false" customHeight="true" outlineLevel="0" collapsed="false">
      <c r="A1" s="10" t="s">
        <v>35</v>
      </c>
      <c r="B1" s="10" t="s">
        <v>42</v>
      </c>
      <c r="C1" s="10" t="s">
        <v>43</v>
      </c>
      <c r="D1" s="10" t="s">
        <v>44</v>
      </c>
      <c r="E1" s="10" t="s">
        <v>45</v>
      </c>
      <c r="F1" s="10" t="s">
        <v>40</v>
      </c>
      <c r="G1" s="10" t="s">
        <v>56</v>
      </c>
      <c r="H1" s="10" t="s">
        <v>57</v>
      </c>
      <c r="I1" s="10" t="s">
        <v>97</v>
      </c>
      <c r="J1" s="10" t="s">
        <v>98</v>
      </c>
      <c r="K1" s="10" t="s">
        <v>85</v>
      </c>
      <c r="L1" s="10" t="s">
        <v>264</v>
      </c>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row>
    <row r="2" customFormat="false" ht="27.75" hidden="false" customHeight="true" outlineLevel="0" collapsed="false">
      <c r="A2" s="8" t="s">
        <v>104</v>
      </c>
      <c r="B2" s="7" t="s">
        <v>110</v>
      </c>
      <c r="C2" s="7" t="s">
        <v>111</v>
      </c>
      <c r="D2" s="7" t="s">
        <v>11</v>
      </c>
      <c r="E2" s="7" t="s">
        <v>112</v>
      </c>
      <c r="F2" s="7" t="s">
        <v>365</v>
      </c>
      <c r="G2" s="7" t="s">
        <v>165</v>
      </c>
      <c r="H2" s="7" t="s">
        <v>165</v>
      </c>
      <c r="I2" s="7" t="s">
        <v>131</v>
      </c>
      <c r="J2" s="7" t="s">
        <v>132</v>
      </c>
      <c r="K2" s="7" t="s">
        <v>113</v>
      </c>
      <c r="L2" s="7" t="s">
        <v>113</v>
      </c>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row>
    <row r="3" customFormat="false" ht="27.75" hidden="false" customHeight="true" outlineLevel="0" collapsed="false">
      <c r="A3" s="8" t="s">
        <v>219</v>
      </c>
      <c r="B3" s="7" t="s">
        <v>223</v>
      </c>
      <c r="C3" s="7" t="s">
        <v>366</v>
      </c>
      <c r="D3" s="7" t="s">
        <v>12</v>
      </c>
      <c r="E3" s="7" t="s">
        <v>164</v>
      </c>
      <c r="F3" s="7" t="s">
        <v>161</v>
      </c>
      <c r="G3" s="7" t="s">
        <v>367</v>
      </c>
      <c r="H3" s="7" t="s">
        <v>367</v>
      </c>
      <c r="I3" s="7" t="s">
        <v>116</v>
      </c>
      <c r="J3" s="7" t="s">
        <v>117</v>
      </c>
      <c r="K3" s="7" t="s">
        <v>125</v>
      </c>
      <c r="L3" s="7" t="s">
        <v>125</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row>
    <row r="4" customFormat="false" ht="27.75" hidden="false" customHeight="true" outlineLevel="0" collapsed="false">
      <c r="A4" s="8" t="s">
        <v>368</v>
      </c>
      <c r="B4" s="7" t="s">
        <v>369</v>
      </c>
      <c r="C4" s="7" t="s">
        <v>370</v>
      </c>
      <c r="D4" s="7" t="s">
        <v>13</v>
      </c>
      <c r="E4" s="7" t="s">
        <v>371</v>
      </c>
      <c r="F4" s="7" t="s">
        <v>372</v>
      </c>
      <c r="G4" s="7" t="s">
        <v>150</v>
      </c>
      <c r="H4" s="7" t="s">
        <v>150</v>
      </c>
      <c r="I4" s="7" t="s">
        <v>180</v>
      </c>
      <c r="J4" s="7" t="s">
        <v>373</v>
      </c>
      <c r="K4" s="7" t="s">
        <v>18</v>
      </c>
      <c r="L4" s="7"/>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row>
    <row r="5" customFormat="false" ht="27.75" hidden="false" customHeight="true" outlineLevel="0" collapsed="false">
      <c r="A5" s="8" t="s">
        <v>374</v>
      </c>
      <c r="B5" s="7"/>
      <c r="C5" s="7" t="s">
        <v>375</v>
      </c>
      <c r="D5" s="7" t="s">
        <v>14</v>
      </c>
      <c r="E5" s="7" t="s">
        <v>376</v>
      </c>
      <c r="F5" s="7" t="s">
        <v>186</v>
      </c>
      <c r="G5" s="7" t="s">
        <v>210</v>
      </c>
      <c r="H5" s="7" t="s">
        <v>210</v>
      </c>
      <c r="I5" s="7"/>
      <c r="J5" s="7" t="s">
        <v>377</v>
      </c>
      <c r="K5" s="7"/>
      <c r="L5" s="7"/>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row>
    <row r="6" customFormat="false" ht="27.75" hidden="false" customHeight="true" outlineLevel="0" collapsed="false">
      <c r="A6" s="8" t="s">
        <v>378</v>
      </c>
      <c r="B6" s="7"/>
      <c r="C6" s="7" t="s">
        <v>163</v>
      </c>
      <c r="D6" s="7" t="s">
        <v>15</v>
      </c>
      <c r="E6" s="7" t="s">
        <v>124</v>
      </c>
      <c r="F6" s="7" t="s">
        <v>108</v>
      </c>
      <c r="G6" s="7" t="s">
        <v>126</v>
      </c>
      <c r="H6" s="7" t="s">
        <v>126</v>
      </c>
      <c r="I6" s="7"/>
      <c r="J6" s="7"/>
      <c r="K6" s="7"/>
      <c r="L6" s="7"/>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row>
    <row r="7" customFormat="false" ht="27.75" hidden="false" customHeight="true" outlineLevel="0" collapsed="false">
      <c r="A7" s="8" t="s">
        <v>379</v>
      </c>
      <c r="B7" s="7"/>
      <c r="C7" s="7" t="s">
        <v>209</v>
      </c>
      <c r="D7" s="7" t="s">
        <v>16</v>
      </c>
      <c r="E7" s="7" t="s">
        <v>380</v>
      </c>
      <c r="F7" s="7" t="s">
        <v>222</v>
      </c>
      <c r="G7" s="7"/>
      <c r="H7" s="7"/>
      <c r="I7" s="7"/>
      <c r="J7" s="7"/>
      <c r="K7" s="7"/>
      <c r="L7" s="7"/>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row>
    <row r="8" customFormat="false" ht="15" hidden="false" customHeight="true" outlineLevel="0" collapsed="false">
      <c r="A8" s="7"/>
      <c r="B8" s="7"/>
      <c r="C8" s="7" t="s">
        <v>381</v>
      </c>
      <c r="D8" s="7" t="s">
        <v>382</v>
      </c>
      <c r="E8" s="7" t="s">
        <v>383</v>
      </c>
      <c r="F8" s="7" t="s">
        <v>148</v>
      </c>
      <c r="G8" s="7"/>
      <c r="H8" s="7"/>
      <c r="I8" s="7"/>
      <c r="J8" s="7"/>
      <c r="K8" s="7"/>
      <c r="L8" s="7"/>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row>
    <row r="9" customFormat="false" ht="15" hidden="false" customHeight="true" outlineLevel="0" collapsed="false">
      <c r="A9" s="7"/>
      <c r="B9" s="7"/>
      <c r="C9" s="7" t="s">
        <v>384</v>
      </c>
      <c r="D9" s="7" t="s">
        <v>17</v>
      </c>
      <c r="E9" s="7" t="s">
        <v>18</v>
      </c>
      <c r="F9" s="7" t="s">
        <v>17</v>
      </c>
      <c r="G9" s="7"/>
      <c r="H9" s="7"/>
      <c r="I9" s="7"/>
      <c r="J9" s="7"/>
      <c r="K9" s="7"/>
      <c r="L9" s="7"/>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row>
    <row r="10" customFormat="false" ht="15" hidden="false" customHeight="true" outlineLevel="0" collapsed="false">
      <c r="A10" s="7"/>
      <c r="B10" s="7"/>
      <c r="C10" s="7"/>
      <c r="D10" s="7" t="s">
        <v>18</v>
      </c>
      <c r="E10" s="7"/>
      <c r="F10" s="7" t="s">
        <v>18</v>
      </c>
      <c r="G10" s="7"/>
      <c r="H10" s="7"/>
      <c r="I10" s="7"/>
      <c r="J10" s="7"/>
      <c r="K10" s="7"/>
      <c r="L10" s="7"/>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row>
    <row r="11" customFormat="false" ht="15" hidden="false" customHeight="true" outlineLevel="0" collapsed="false">
      <c r="A11" s="7"/>
      <c r="B11" s="7"/>
      <c r="C11" s="7"/>
      <c r="D11" s="7"/>
      <c r="E11" s="7"/>
      <c r="F11" s="7"/>
      <c r="G11" s="7"/>
      <c r="H11" s="7"/>
      <c r="I11" s="7"/>
      <c r="J11" s="7"/>
      <c r="K11" s="7"/>
      <c r="L11" s="7"/>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row>
    <row r="12" customFormat="false" ht="15" hidden="false" customHeight="true" outlineLevel="0" collapsed="false">
      <c r="A12" s="7"/>
      <c r="B12" s="7"/>
      <c r="C12" s="7"/>
      <c r="D12" s="7"/>
      <c r="E12" s="7"/>
      <c r="F12" s="7"/>
      <c r="G12" s="7"/>
      <c r="H12" s="7"/>
      <c r="I12" s="7"/>
      <c r="J12" s="7"/>
      <c r="K12" s="7"/>
      <c r="L12" s="7"/>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row>
    <row r="13" customFormat="false" ht="15" hidden="false" customHeight="true" outlineLevel="0" collapsed="false">
      <c r="A13" s="7"/>
      <c r="B13" s="7"/>
      <c r="C13" s="7"/>
      <c r="D13" s="7"/>
      <c r="E13" s="7"/>
      <c r="F13" s="7"/>
      <c r="G13" s="7"/>
      <c r="H13" s="7"/>
      <c r="I13" s="7"/>
      <c r="J13" s="7"/>
      <c r="K13" s="7"/>
      <c r="L13" s="7"/>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row>
    <row r="14" customFormat="false" ht="15" hidden="false" customHeight="true" outlineLevel="0" collapsed="false">
      <c r="A14" s="7"/>
      <c r="B14" s="7"/>
      <c r="C14" s="7"/>
      <c r="D14" s="7"/>
      <c r="E14" s="7"/>
      <c r="F14" s="7"/>
      <c r="G14" s="7"/>
      <c r="H14" s="7"/>
      <c r="I14" s="7"/>
      <c r="J14" s="7"/>
      <c r="K14" s="7"/>
      <c r="L14" s="7"/>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row>
    <row r="15" customFormat="false" ht="15" hidden="false" customHeight="true" outlineLevel="0" collapsed="false">
      <c r="A15" s="7"/>
      <c r="B15" s="7"/>
      <c r="C15" s="7"/>
      <c r="D15" s="7"/>
      <c r="E15" s="7"/>
      <c r="F15" s="7"/>
      <c r="G15" s="7"/>
      <c r="H15" s="7"/>
      <c r="I15" s="7"/>
      <c r="J15" s="7"/>
      <c r="K15" s="7"/>
      <c r="L15" s="7"/>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row>
    <row r="16" customFormat="false" ht="15" hidden="false" customHeight="true" outlineLevel="0" collapsed="false">
      <c r="A16" s="7"/>
      <c r="B16" s="7"/>
      <c r="C16" s="7"/>
      <c r="D16" s="7"/>
      <c r="E16" s="7"/>
      <c r="F16" s="7"/>
      <c r="G16" s="7"/>
      <c r="H16" s="7"/>
      <c r="I16" s="7"/>
      <c r="J16" s="7"/>
      <c r="K16" s="7"/>
      <c r="L16" s="7"/>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row>
    <row r="17" customFormat="false" ht="15" hidden="false" customHeight="true" outlineLevel="0" collapsed="false">
      <c r="A17" s="7"/>
      <c r="B17" s="7"/>
      <c r="C17" s="7"/>
      <c r="D17" s="7"/>
      <c r="E17" s="7"/>
      <c r="F17" s="7"/>
      <c r="G17" s="7"/>
      <c r="H17" s="7"/>
      <c r="I17" s="7"/>
      <c r="J17" s="7"/>
      <c r="K17" s="7"/>
      <c r="L17" s="7"/>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row>
    <row r="18" customFormat="false" ht="15" hidden="false" customHeight="true" outlineLevel="0" collapsed="false">
      <c r="A18" s="7"/>
      <c r="B18" s="7"/>
      <c r="C18" s="7"/>
      <c r="D18" s="7"/>
      <c r="E18" s="7"/>
      <c r="F18" s="7"/>
      <c r="G18" s="7"/>
      <c r="H18" s="7"/>
      <c r="I18" s="7"/>
      <c r="J18" s="7"/>
      <c r="K18" s="7"/>
      <c r="L18" s="7"/>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row>
    <row r="19" customFormat="false" ht="15" hidden="false" customHeight="true" outlineLevel="0" collapsed="false">
      <c r="A19" s="7"/>
      <c r="B19" s="7"/>
      <c r="C19" s="7"/>
      <c r="D19" s="7"/>
      <c r="E19" s="7"/>
      <c r="F19" s="7"/>
      <c r="G19" s="7"/>
      <c r="H19" s="7"/>
      <c r="I19" s="7"/>
      <c r="J19" s="7"/>
      <c r="K19" s="7"/>
      <c r="L19" s="7"/>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row>
    <row r="20" customFormat="false" ht="15" hidden="false" customHeight="true" outlineLevel="0" collapsed="false">
      <c r="A20" s="7"/>
      <c r="B20" s="7"/>
      <c r="C20" s="7"/>
      <c r="D20" s="7"/>
      <c r="E20" s="7"/>
      <c r="F20" s="7"/>
      <c r="G20" s="7"/>
      <c r="H20" s="7"/>
      <c r="I20" s="7"/>
      <c r="J20" s="7"/>
      <c r="K20" s="7"/>
      <c r="L20" s="7"/>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row>
    <row r="21" customFormat="false" ht="15" hidden="false" customHeight="true" outlineLevel="0" collapsed="false">
      <c r="A21" s="7"/>
      <c r="B21" s="7"/>
      <c r="C21" s="7"/>
      <c r="D21" s="7"/>
      <c r="E21" s="7"/>
      <c r="F21" s="7"/>
      <c r="G21" s="7"/>
      <c r="H21" s="7"/>
      <c r="I21" s="7"/>
      <c r="J21" s="7"/>
      <c r="K21" s="7"/>
      <c r="L21" s="7"/>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row>
    <row r="22" customFormat="false" ht="15" hidden="false" customHeight="true" outlineLevel="0" collapsed="false">
      <c r="A22" s="7"/>
      <c r="B22" s="7"/>
      <c r="C22" s="7"/>
      <c r="D22" s="7"/>
      <c r="E22" s="7"/>
      <c r="F22" s="7"/>
      <c r="G22" s="7"/>
      <c r="H22" s="7"/>
      <c r="I22" s="7"/>
      <c r="J22" s="7"/>
      <c r="K22" s="7"/>
      <c r="L22" s="7"/>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row>
    <row r="23" customFormat="false" ht="15" hidden="false" customHeight="true" outlineLevel="0" collapsed="false">
      <c r="A23" s="7"/>
      <c r="B23" s="7"/>
      <c r="C23" s="7"/>
      <c r="D23" s="7"/>
      <c r="E23" s="7"/>
      <c r="F23" s="7"/>
      <c r="G23" s="7"/>
      <c r="H23" s="7"/>
      <c r="I23" s="7"/>
      <c r="J23" s="7"/>
      <c r="K23" s="7"/>
      <c r="L23" s="7"/>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row>
    <row r="24" customFormat="false" ht="15" hidden="false" customHeight="true" outlineLevel="0" collapsed="false">
      <c r="A24" s="7"/>
      <c r="B24" s="7"/>
      <c r="C24" s="7"/>
      <c r="D24" s="7"/>
      <c r="E24" s="7"/>
      <c r="F24" s="7"/>
      <c r="G24" s="7"/>
      <c r="H24" s="7"/>
      <c r="I24" s="7"/>
      <c r="J24" s="7"/>
      <c r="K24" s="7"/>
      <c r="L24" s="7"/>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row>
    <row r="25" customFormat="false" ht="15" hidden="false" customHeight="true" outlineLevel="0" collapsed="false">
      <c r="A25" s="7"/>
      <c r="B25" s="7"/>
      <c r="C25" s="7"/>
      <c r="D25" s="7"/>
      <c r="E25" s="7"/>
      <c r="F25" s="7"/>
      <c r="G25" s="7"/>
      <c r="H25" s="7"/>
      <c r="I25" s="7"/>
      <c r="J25" s="7"/>
      <c r="K25" s="7"/>
      <c r="L25" s="7"/>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row>
    <row r="26" customFormat="false" ht="15" hidden="false" customHeight="true" outlineLevel="0" collapsed="false">
      <c r="A26" s="7"/>
      <c r="B26" s="7"/>
      <c r="C26" s="7"/>
      <c r="D26" s="7"/>
      <c r="E26" s="7"/>
      <c r="F26" s="7"/>
      <c r="G26" s="7"/>
      <c r="H26" s="7"/>
      <c r="I26" s="7"/>
      <c r="J26" s="7"/>
      <c r="K26" s="7"/>
      <c r="L26" s="7"/>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row>
    <row r="27" customFormat="false" ht="15" hidden="false" customHeight="true" outlineLevel="0" collapsed="false">
      <c r="A27" s="7"/>
      <c r="B27" s="7"/>
      <c r="C27" s="7"/>
      <c r="D27" s="7"/>
      <c r="E27" s="7"/>
      <c r="F27" s="7"/>
      <c r="G27" s="7"/>
      <c r="H27" s="7"/>
      <c r="I27" s="7"/>
      <c r="J27" s="7"/>
      <c r="K27" s="7"/>
      <c r="L27" s="7"/>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row>
    <row r="28" customFormat="false" ht="15" hidden="false" customHeight="true" outlineLevel="0" collapsed="false">
      <c r="A28" s="7"/>
      <c r="B28" s="7"/>
      <c r="C28" s="7"/>
      <c r="D28" s="7"/>
      <c r="E28" s="7"/>
      <c r="F28" s="7"/>
      <c r="G28" s="7"/>
      <c r="H28" s="7"/>
      <c r="I28" s="7"/>
      <c r="J28" s="7"/>
      <c r="K28" s="7"/>
      <c r="L28" s="7"/>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row>
    <row r="29" customFormat="false" ht="15" hidden="false" customHeight="true" outlineLevel="0" collapsed="false">
      <c r="A29" s="7"/>
      <c r="B29" s="7"/>
      <c r="C29" s="7"/>
      <c r="D29" s="7"/>
      <c r="E29" s="7"/>
      <c r="F29" s="7"/>
      <c r="G29" s="7"/>
      <c r="H29" s="7"/>
      <c r="I29" s="7"/>
      <c r="J29" s="7"/>
      <c r="K29" s="7"/>
      <c r="L29" s="7"/>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row>
    <row r="30" customFormat="false" ht="15" hidden="false" customHeight="true" outlineLevel="0" collapsed="false">
      <c r="A30" s="7"/>
      <c r="B30" s="7"/>
      <c r="C30" s="7"/>
      <c r="D30" s="7"/>
      <c r="E30" s="7"/>
      <c r="F30" s="7"/>
      <c r="G30" s="7"/>
      <c r="H30" s="7"/>
      <c r="I30" s="7"/>
      <c r="J30" s="7"/>
      <c r="K30" s="7"/>
      <c r="L30" s="7"/>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row>
    <row r="31" customFormat="false" ht="15" hidden="false" customHeight="true" outlineLevel="0" collapsed="false">
      <c r="A31" s="7"/>
      <c r="B31" s="7"/>
      <c r="C31" s="7"/>
      <c r="D31" s="7"/>
      <c r="E31" s="7"/>
      <c r="F31" s="7"/>
      <c r="G31" s="7"/>
      <c r="H31" s="7"/>
      <c r="I31" s="7"/>
      <c r="J31" s="7"/>
      <c r="K31" s="7"/>
      <c r="L31" s="7"/>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row>
    <row r="32" customFormat="false" ht="15" hidden="false" customHeight="true" outlineLevel="0" collapsed="false">
      <c r="A32" s="7"/>
      <c r="B32" s="7"/>
      <c r="C32" s="7"/>
      <c r="D32" s="7"/>
      <c r="E32" s="7"/>
      <c r="F32" s="7"/>
      <c r="G32" s="7"/>
      <c r="H32" s="7"/>
      <c r="I32" s="7"/>
      <c r="J32" s="7"/>
      <c r="K32" s="7"/>
      <c r="L32" s="7"/>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row>
    <row r="33" customFormat="false" ht="15" hidden="false" customHeight="true" outlineLevel="0" collapsed="false">
      <c r="A33" s="7"/>
      <c r="B33" s="7"/>
      <c r="C33" s="7"/>
      <c r="D33" s="7"/>
      <c r="E33" s="7"/>
      <c r="F33" s="7"/>
      <c r="G33" s="7"/>
      <c r="H33" s="7"/>
      <c r="I33" s="7"/>
      <c r="J33" s="7"/>
      <c r="K33" s="7"/>
      <c r="L33" s="7"/>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row>
    <row r="34" customFormat="false" ht="15" hidden="false" customHeight="true" outlineLevel="0" collapsed="false">
      <c r="A34" s="7"/>
      <c r="B34" s="7"/>
      <c r="C34" s="7"/>
      <c r="D34" s="7"/>
      <c r="E34" s="7"/>
      <c r="F34" s="7"/>
      <c r="G34" s="7"/>
      <c r="H34" s="7"/>
      <c r="I34" s="7"/>
      <c r="J34" s="7"/>
      <c r="K34" s="7"/>
      <c r="L34" s="7"/>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row>
    <row r="35" customFormat="false" ht="15" hidden="false" customHeight="true" outlineLevel="0" collapsed="false">
      <c r="A35" s="7"/>
      <c r="B35" s="7"/>
      <c r="C35" s="7"/>
      <c r="D35" s="7"/>
      <c r="E35" s="7"/>
      <c r="F35" s="7"/>
      <c r="G35" s="7"/>
      <c r="H35" s="7"/>
      <c r="I35" s="7"/>
      <c r="J35" s="7"/>
      <c r="K35" s="7"/>
      <c r="L35" s="7"/>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row>
    <row r="36" customFormat="false" ht="15" hidden="false" customHeight="true" outlineLevel="0" collapsed="false">
      <c r="A36" s="7"/>
      <c r="B36" s="7"/>
      <c r="C36" s="7"/>
      <c r="D36" s="7"/>
      <c r="E36" s="7"/>
      <c r="F36" s="7"/>
      <c r="G36" s="7"/>
      <c r="H36" s="7"/>
      <c r="I36" s="7"/>
      <c r="J36" s="7"/>
      <c r="K36" s="7"/>
      <c r="L36" s="7"/>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row>
    <row r="37" customFormat="false" ht="15" hidden="false" customHeight="true" outlineLevel="0" collapsed="false">
      <c r="A37" s="7"/>
      <c r="B37" s="7"/>
      <c r="C37" s="7"/>
      <c r="D37" s="7"/>
      <c r="E37" s="7"/>
      <c r="F37" s="7"/>
      <c r="G37" s="7"/>
      <c r="H37" s="7"/>
      <c r="I37" s="7"/>
      <c r="J37" s="7"/>
      <c r="K37" s="7"/>
      <c r="L37" s="7"/>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row>
    <row r="38" customFormat="false" ht="15" hidden="false" customHeight="true" outlineLevel="0" collapsed="false">
      <c r="A38" s="7"/>
      <c r="B38" s="7"/>
      <c r="C38" s="7"/>
      <c r="D38" s="7"/>
      <c r="E38" s="7"/>
      <c r="F38" s="7"/>
      <c r="G38" s="7"/>
      <c r="H38" s="7"/>
      <c r="I38" s="7"/>
      <c r="J38" s="7"/>
      <c r="K38" s="7"/>
      <c r="L38" s="7"/>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row>
    <row r="39" customFormat="false" ht="15" hidden="false" customHeight="true" outlineLevel="0" collapsed="false">
      <c r="A39" s="7"/>
      <c r="B39" s="7"/>
      <c r="C39" s="7"/>
      <c r="D39" s="7"/>
      <c r="E39" s="7"/>
      <c r="F39" s="7"/>
      <c r="G39" s="7"/>
      <c r="H39" s="7"/>
      <c r="I39" s="7"/>
      <c r="J39" s="7"/>
      <c r="K39" s="7"/>
      <c r="L39" s="7"/>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row>
    <row r="40" customFormat="false" ht="15" hidden="false" customHeight="true" outlineLevel="0" collapsed="false">
      <c r="A40" s="7"/>
      <c r="B40" s="7"/>
      <c r="C40" s="7"/>
      <c r="D40" s="7"/>
      <c r="E40" s="7"/>
      <c r="F40" s="7"/>
      <c r="G40" s="7"/>
      <c r="H40" s="7"/>
      <c r="I40" s="7"/>
      <c r="J40" s="7"/>
      <c r="K40" s="7"/>
      <c r="L40" s="7"/>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row>
    <row r="41" customFormat="false" ht="15" hidden="false" customHeight="true" outlineLevel="0" collapsed="false">
      <c r="A41" s="7"/>
      <c r="B41" s="7"/>
      <c r="C41" s="7"/>
      <c r="D41" s="7"/>
      <c r="E41" s="7"/>
      <c r="F41" s="7"/>
      <c r="G41" s="7"/>
      <c r="H41" s="7"/>
      <c r="I41" s="7"/>
      <c r="J41" s="7"/>
      <c r="K41" s="7"/>
      <c r="L41" s="7"/>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row>
    <row r="42" customFormat="false" ht="15" hidden="false" customHeight="true" outlineLevel="0" collapsed="false">
      <c r="A42" s="7"/>
      <c r="B42" s="7"/>
      <c r="C42" s="7"/>
      <c r="D42" s="7"/>
      <c r="E42" s="7"/>
      <c r="F42" s="7"/>
      <c r="G42" s="7"/>
      <c r="H42" s="7"/>
      <c r="I42" s="7"/>
      <c r="J42" s="7"/>
      <c r="K42" s="7"/>
      <c r="L42" s="7"/>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row>
    <row r="43" customFormat="false" ht="15" hidden="false" customHeight="true" outlineLevel="0" collapsed="false">
      <c r="A43" s="7"/>
      <c r="B43" s="7"/>
      <c r="C43" s="7"/>
      <c r="D43" s="7"/>
      <c r="E43" s="7"/>
      <c r="F43" s="7"/>
      <c r="G43" s="7"/>
      <c r="H43" s="7"/>
      <c r="I43" s="7"/>
      <c r="J43" s="7"/>
      <c r="K43" s="7"/>
      <c r="L43" s="7"/>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row>
    <row r="44" customFormat="false" ht="15" hidden="false" customHeight="true" outlineLevel="0" collapsed="false">
      <c r="A44" s="7"/>
      <c r="B44" s="7"/>
      <c r="C44" s="7"/>
      <c r="D44" s="7"/>
      <c r="E44" s="7"/>
      <c r="F44" s="7"/>
      <c r="G44" s="7"/>
      <c r="H44" s="7"/>
      <c r="I44" s="7"/>
      <c r="J44" s="7"/>
      <c r="K44" s="7"/>
      <c r="L44" s="7"/>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row>
    <row r="45" customFormat="false" ht="15" hidden="false" customHeight="true" outlineLevel="0" collapsed="false">
      <c r="A45" s="7"/>
      <c r="B45" s="7"/>
      <c r="C45" s="7"/>
      <c r="D45" s="7"/>
      <c r="E45" s="7"/>
      <c r="F45" s="7"/>
      <c r="G45" s="7"/>
      <c r="H45" s="7"/>
      <c r="I45" s="7"/>
      <c r="J45" s="7"/>
      <c r="K45" s="7"/>
      <c r="L45" s="7"/>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row>
    <row r="46" customFormat="false" ht="15" hidden="false" customHeight="true" outlineLevel="0" collapsed="false">
      <c r="A46" s="7"/>
      <c r="B46" s="7"/>
      <c r="C46" s="7"/>
      <c r="D46" s="7"/>
      <c r="E46" s="7"/>
      <c r="F46" s="7"/>
      <c r="G46" s="7"/>
      <c r="H46" s="7"/>
      <c r="I46" s="7"/>
      <c r="J46" s="7"/>
      <c r="K46" s="7"/>
      <c r="L46" s="7"/>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row>
    <row r="47" customFormat="false" ht="15" hidden="false" customHeight="true" outlineLevel="0" collapsed="false">
      <c r="A47" s="7"/>
      <c r="B47" s="7"/>
      <c r="C47" s="7"/>
      <c r="D47" s="7"/>
      <c r="E47" s="7"/>
      <c r="F47" s="7"/>
      <c r="G47" s="7"/>
      <c r="H47" s="7"/>
      <c r="I47" s="7"/>
      <c r="J47" s="7"/>
      <c r="K47" s="7"/>
      <c r="L47" s="7"/>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row>
    <row r="48" customFormat="false" ht="15" hidden="false" customHeight="true" outlineLevel="0" collapsed="false">
      <c r="A48" s="7"/>
      <c r="B48" s="7"/>
      <c r="C48" s="7"/>
      <c r="D48" s="7"/>
      <c r="E48" s="7"/>
      <c r="F48" s="7"/>
      <c r="G48" s="7"/>
      <c r="H48" s="7"/>
      <c r="I48" s="7"/>
      <c r="J48" s="7"/>
      <c r="K48" s="7"/>
      <c r="L48" s="7"/>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row>
    <row r="49" customFormat="false" ht="15" hidden="false" customHeight="true" outlineLevel="0" collapsed="false">
      <c r="A49" s="7"/>
      <c r="B49" s="7"/>
      <c r="C49" s="7"/>
      <c r="D49" s="7"/>
      <c r="E49" s="7"/>
      <c r="F49" s="7"/>
      <c r="G49" s="7"/>
      <c r="H49" s="7"/>
      <c r="I49" s="7"/>
      <c r="J49" s="7"/>
      <c r="K49" s="7"/>
      <c r="L49" s="7"/>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row>
    <row r="50" customFormat="false" ht="15" hidden="false" customHeight="true" outlineLevel="0" collapsed="false">
      <c r="A50" s="7"/>
      <c r="B50" s="7"/>
      <c r="C50" s="7"/>
      <c r="D50" s="7"/>
      <c r="E50" s="7"/>
      <c r="F50" s="7"/>
      <c r="G50" s="7"/>
      <c r="H50" s="7"/>
      <c r="I50" s="7"/>
      <c r="J50" s="7"/>
      <c r="K50" s="7"/>
      <c r="L50" s="7"/>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row>
    <row r="51" customFormat="false" ht="15" hidden="false" customHeight="true" outlineLevel="0" collapsed="false">
      <c r="A51" s="7"/>
      <c r="B51" s="7"/>
      <c r="C51" s="7"/>
      <c r="D51" s="7"/>
      <c r="E51" s="7"/>
      <c r="F51" s="7"/>
      <c r="G51" s="7"/>
      <c r="H51" s="7"/>
      <c r="I51" s="7"/>
      <c r="J51" s="7"/>
      <c r="K51" s="7"/>
      <c r="L51" s="7"/>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row>
    <row r="52" customFormat="false" ht="15" hidden="false" customHeight="true" outlineLevel="0" collapsed="false">
      <c r="A52" s="7"/>
      <c r="B52" s="7"/>
      <c r="C52" s="7"/>
      <c r="D52" s="7"/>
      <c r="E52" s="7"/>
      <c r="F52" s="7"/>
      <c r="G52" s="7"/>
      <c r="H52" s="7"/>
      <c r="I52" s="7"/>
      <c r="J52" s="7"/>
      <c r="K52" s="7"/>
      <c r="L52" s="7"/>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row>
    <row r="53" customFormat="false" ht="15" hidden="false" customHeight="true" outlineLevel="0" collapsed="false">
      <c r="A53" s="7"/>
      <c r="B53" s="7"/>
      <c r="C53" s="7"/>
      <c r="D53" s="7"/>
      <c r="E53" s="7"/>
      <c r="F53" s="7"/>
      <c r="G53" s="7"/>
      <c r="H53" s="7"/>
      <c r="I53" s="7"/>
      <c r="J53" s="7"/>
      <c r="K53" s="7"/>
      <c r="L53" s="7"/>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row>
    <row r="54" customFormat="false" ht="15" hidden="false" customHeight="true" outlineLevel="0" collapsed="false">
      <c r="A54" s="7"/>
      <c r="B54" s="7"/>
      <c r="C54" s="7"/>
      <c r="D54" s="7"/>
      <c r="E54" s="7"/>
      <c r="F54" s="7"/>
      <c r="G54" s="7"/>
      <c r="H54" s="7"/>
      <c r="I54" s="7"/>
      <c r="J54" s="7"/>
      <c r="K54" s="7"/>
      <c r="L54" s="7"/>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row>
    <row r="55" customFormat="false" ht="15" hidden="false" customHeight="true" outlineLevel="0" collapsed="false">
      <c r="A55" s="7"/>
      <c r="B55" s="7"/>
      <c r="C55" s="7"/>
      <c r="D55" s="7"/>
      <c r="E55" s="7"/>
      <c r="F55" s="7"/>
      <c r="G55" s="7"/>
      <c r="H55" s="7"/>
      <c r="I55" s="7"/>
      <c r="J55" s="7"/>
      <c r="K55" s="7"/>
      <c r="L55" s="7"/>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row>
    <row r="56" customFormat="false" ht="15" hidden="false" customHeight="true" outlineLevel="0" collapsed="false">
      <c r="A56" s="7"/>
      <c r="B56" s="7"/>
      <c r="C56" s="7"/>
      <c r="D56" s="7"/>
      <c r="E56" s="7"/>
      <c r="F56" s="7"/>
      <c r="G56" s="7"/>
      <c r="H56" s="7"/>
      <c r="I56" s="7"/>
      <c r="J56" s="7"/>
      <c r="K56" s="7"/>
      <c r="L56" s="7"/>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row>
    <row r="57" customFormat="false" ht="15" hidden="false" customHeight="true" outlineLevel="0" collapsed="false">
      <c r="A57" s="7"/>
      <c r="B57" s="7"/>
      <c r="C57" s="7"/>
      <c r="D57" s="7"/>
      <c r="E57" s="7"/>
      <c r="F57" s="7"/>
      <c r="G57" s="7"/>
      <c r="H57" s="7"/>
      <c r="I57" s="7"/>
      <c r="J57" s="7"/>
      <c r="K57" s="7"/>
      <c r="L57" s="7"/>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row>
    <row r="58" customFormat="false" ht="15" hidden="false" customHeight="true" outlineLevel="0" collapsed="false">
      <c r="A58" s="7"/>
      <c r="B58" s="7"/>
      <c r="C58" s="7"/>
      <c r="D58" s="7"/>
      <c r="E58" s="7"/>
      <c r="F58" s="7"/>
      <c r="G58" s="7"/>
      <c r="H58" s="7"/>
      <c r="I58" s="7"/>
      <c r="J58" s="7"/>
      <c r="K58" s="7"/>
      <c r="L58" s="7"/>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row>
    <row r="59" customFormat="false" ht="15" hidden="false" customHeight="true" outlineLevel="0" collapsed="false">
      <c r="A59" s="7"/>
      <c r="B59" s="7"/>
      <c r="C59" s="7"/>
      <c r="D59" s="7"/>
      <c r="E59" s="7"/>
      <c r="F59" s="7"/>
      <c r="G59" s="7"/>
      <c r="H59" s="7"/>
      <c r="I59" s="7"/>
      <c r="J59" s="7"/>
      <c r="K59" s="7"/>
      <c r="L59" s="7"/>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row>
    <row r="60" customFormat="false" ht="15" hidden="false" customHeight="true" outlineLevel="0" collapsed="false">
      <c r="A60" s="7"/>
      <c r="B60" s="7"/>
      <c r="C60" s="7"/>
      <c r="D60" s="7"/>
      <c r="E60" s="7"/>
      <c r="F60" s="7"/>
      <c r="G60" s="7"/>
      <c r="H60" s="7"/>
      <c r="I60" s="7"/>
      <c r="J60" s="7"/>
      <c r="K60" s="7"/>
      <c r="L60" s="7"/>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row>
    <row r="61" customFormat="false" ht="15" hidden="false" customHeight="true" outlineLevel="0" collapsed="false">
      <c r="A61" s="7"/>
      <c r="B61" s="7"/>
      <c r="C61" s="7"/>
      <c r="D61" s="7"/>
      <c r="E61" s="7"/>
      <c r="F61" s="7"/>
      <c r="G61" s="7"/>
      <c r="H61" s="7"/>
      <c r="I61" s="7"/>
      <c r="J61" s="7"/>
      <c r="K61" s="7"/>
      <c r="L61" s="7"/>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row>
    <row r="62" customFormat="false" ht="15" hidden="false" customHeight="true" outlineLevel="0" collapsed="false">
      <c r="A62" s="7"/>
      <c r="B62" s="7"/>
      <c r="C62" s="7"/>
      <c r="D62" s="7"/>
      <c r="E62" s="7"/>
      <c r="F62" s="7"/>
      <c r="G62" s="7"/>
      <c r="H62" s="7"/>
      <c r="I62" s="7"/>
      <c r="J62" s="7"/>
      <c r="K62" s="7"/>
      <c r="L62" s="7"/>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row>
    <row r="63" customFormat="false" ht="15" hidden="false" customHeight="true" outlineLevel="0" collapsed="false">
      <c r="A63" s="7"/>
      <c r="B63" s="7"/>
      <c r="C63" s="7"/>
      <c r="D63" s="7"/>
      <c r="E63" s="7"/>
      <c r="F63" s="7"/>
      <c r="G63" s="7"/>
      <c r="H63" s="7"/>
      <c r="I63" s="7"/>
      <c r="J63" s="7"/>
      <c r="K63" s="7"/>
      <c r="L63" s="7"/>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row>
    <row r="64" customFormat="false" ht="15" hidden="false" customHeight="true" outlineLevel="0" collapsed="false">
      <c r="A64" s="7"/>
      <c r="B64" s="7"/>
      <c r="C64" s="7"/>
      <c r="D64" s="7"/>
      <c r="E64" s="7"/>
      <c r="F64" s="7"/>
      <c r="G64" s="7"/>
      <c r="H64" s="7"/>
      <c r="I64" s="7"/>
      <c r="J64" s="7"/>
      <c r="K64" s="7"/>
      <c r="L64" s="7"/>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row>
    <row r="65" customFormat="false" ht="15" hidden="false" customHeight="true" outlineLevel="0" collapsed="false">
      <c r="A65" s="7"/>
      <c r="B65" s="7"/>
      <c r="C65" s="7"/>
      <c r="D65" s="7"/>
      <c r="E65" s="7"/>
      <c r="F65" s="7"/>
      <c r="G65" s="7"/>
      <c r="H65" s="7"/>
      <c r="I65" s="7"/>
      <c r="J65" s="7"/>
      <c r="K65" s="7"/>
      <c r="L65" s="7"/>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row>
    <row r="66" customFormat="false" ht="15" hidden="false" customHeight="true" outlineLevel="0" collapsed="false">
      <c r="A66" s="7"/>
      <c r="B66" s="7"/>
      <c r="C66" s="7"/>
      <c r="D66" s="7"/>
      <c r="E66" s="7"/>
      <c r="F66" s="7"/>
      <c r="G66" s="7"/>
      <c r="H66" s="7"/>
      <c r="I66" s="7"/>
      <c r="J66" s="7"/>
      <c r="K66" s="7"/>
      <c r="L66" s="7"/>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row>
    <row r="67" customFormat="false" ht="15" hidden="false" customHeight="true" outlineLevel="0" collapsed="false">
      <c r="A67" s="7"/>
      <c r="B67" s="7"/>
      <c r="C67" s="7"/>
      <c r="D67" s="7"/>
      <c r="E67" s="7"/>
      <c r="F67" s="7"/>
      <c r="G67" s="7"/>
      <c r="H67" s="7"/>
      <c r="I67" s="7"/>
      <c r="J67" s="7"/>
      <c r="K67" s="7"/>
      <c r="L67" s="7"/>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row>
    <row r="68" customFormat="false" ht="15" hidden="false" customHeight="true" outlineLevel="0" collapsed="false">
      <c r="A68" s="7"/>
      <c r="B68" s="7"/>
      <c r="C68" s="7"/>
      <c r="D68" s="7"/>
      <c r="E68" s="7"/>
      <c r="F68" s="7"/>
      <c r="G68" s="7"/>
      <c r="H68" s="7"/>
      <c r="I68" s="7"/>
      <c r="J68" s="7"/>
      <c r="K68" s="7"/>
      <c r="L68" s="7"/>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row>
    <row r="69" customFormat="false" ht="15" hidden="false" customHeight="true" outlineLevel="0" collapsed="false">
      <c r="A69" s="7"/>
      <c r="B69" s="7"/>
      <c r="C69" s="7"/>
      <c r="D69" s="7"/>
      <c r="E69" s="7"/>
      <c r="F69" s="7"/>
      <c r="G69" s="7"/>
      <c r="H69" s="7"/>
      <c r="I69" s="7"/>
      <c r="J69" s="7"/>
      <c r="K69" s="7"/>
      <c r="L69" s="7"/>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row>
    <row r="70" customFormat="false" ht="15" hidden="false" customHeight="true" outlineLevel="0" collapsed="false">
      <c r="A70" s="7"/>
      <c r="B70" s="7"/>
      <c r="C70" s="7"/>
      <c r="D70" s="7"/>
      <c r="E70" s="7"/>
      <c r="F70" s="7"/>
      <c r="G70" s="7"/>
      <c r="H70" s="7"/>
      <c r="I70" s="7"/>
      <c r="J70" s="7"/>
      <c r="K70" s="7"/>
      <c r="L70" s="7"/>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row>
    <row r="71" customFormat="false" ht="15" hidden="false" customHeight="true" outlineLevel="0" collapsed="false">
      <c r="A71" s="7"/>
      <c r="B71" s="7"/>
      <c r="C71" s="7"/>
      <c r="D71" s="7"/>
      <c r="E71" s="7"/>
      <c r="F71" s="7"/>
      <c r="G71" s="7"/>
      <c r="H71" s="7"/>
      <c r="I71" s="7"/>
      <c r="J71" s="7"/>
      <c r="K71" s="7"/>
      <c r="L71" s="7"/>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row>
    <row r="72" customFormat="false" ht="15" hidden="false" customHeight="true" outlineLevel="0" collapsed="false">
      <c r="A72" s="7"/>
      <c r="B72" s="7"/>
      <c r="C72" s="7"/>
      <c r="D72" s="7"/>
      <c r="E72" s="7"/>
      <c r="F72" s="7"/>
      <c r="G72" s="7"/>
      <c r="H72" s="7"/>
      <c r="I72" s="7"/>
      <c r="J72" s="7"/>
      <c r="K72" s="7"/>
      <c r="L72" s="7"/>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row>
    <row r="73" customFormat="false" ht="15" hidden="false" customHeight="true" outlineLevel="0" collapsed="false">
      <c r="A73" s="7"/>
      <c r="B73" s="7"/>
      <c r="C73" s="7"/>
      <c r="D73" s="7"/>
      <c r="E73" s="7"/>
      <c r="F73" s="7"/>
      <c r="G73" s="7"/>
      <c r="H73" s="7"/>
      <c r="I73" s="7"/>
      <c r="J73" s="7"/>
      <c r="K73" s="7"/>
      <c r="L73" s="7"/>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row>
    <row r="74" customFormat="false" ht="15" hidden="false" customHeight="true" outlineLevel="0" collapsed="false">
      <c r="A74" s="7"/>
      <c r="B74" s="7"/>
      <c r="C74" s="7"/>
      <c r="D74" s="7"/>
      <c r="E74" s="7"/>
      <c r="F74" s="7"/>
      <c r="G74" s="7"/>
      <c r="H74" s="7"/>
      <c r="I74" s="7"/>
      <c r="J74" s="7"/>
      <c r="K74" s="7"/>
      <c r="L74" s="7"/>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row>
    <row r="75" customFormat="false" ht="15" hidden="false" customHeight="true" outlineLevel="0" collapsed="false">
      <c r="A75" s="7"/>
      <c r="B75" s="7"/>
      <c r="C75" s="7"/>
      <c r="D75" s="7"/>
      <c r="E75" s="7"/>
      <c r="F75" s="7"/>
      <c r="G75" s="7"/>
      <c r="H75" s="7"/>
      <c r="I75" s="7"/>
      <c r="J75" s="7"/>
      <c r="K75" s="7"/>
      <c r="L75" s="7"/>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row>
    <row r="76" customFormat="false" ht="15" hidden="false" customHeight="true" outlineLevel="0" collapsed="false">
      <c r="A76" s="7"/>
      <c r="B76" s="7"/>
      <c r="C76" s="7"/>
      <c r="D76" s="7"/>
      <c r="E76" s="7"/>
      <c r="F76" s="7"/>
      <c r="G76" s="7"/>
      <c r="H76" s="7"/>
      <c r="I76" s="7"/>
      <c r="J76" s="7"/>
      <c r="K76" s="7"/>
      <c r="L76" s="7"/>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row>
    <row r="77" customFormat="false" ht="15" hidden="false" customHeight="true" outlineLevel="0" collapsed="false">
      <c r="A77" s="7"/>
      <c r="B77" s="7"/>
      <c r="C77" s="7"/>
      <c r="D77" s="7"/>
      <c r="E77" s="7"/>
      <c r="F77" s="7"/>
      <c r="G77" s="7"/>
      <c r="H77" s="7"/>
      <c r="I77" s="7"/>
      <c r="J77" s="7"/>
      <c r="K77" s="7"/>
      <c r="L77" s="7"/>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row>
    <row r="78" customFormat="false" ht="15" hidden="false" customHeight="true" outlineLevel="0" collapsed="false">
      <c r="A78" s="7"/>
      <c r="B78" s="7"/>
      <c r="C78" s="7"/>
      <c r="D78" s="7"/>
      <c r="E78" s="7"/>
      <c r="F78" s="7"/>
      <c r="G78" s="7"/>
      <c r="H78" s="7"/>
      <c r="I78" s="7"/>
      <c r="J78" s="7"/>
      <c r="K78" s="7"/>
      <c r="L78" s="7"/>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row>
    <row r="79" customFormat="false" ht="15" hidden="false" customHeight="true" outlineLevel="0" collapsed="false">
      <c r="A79" s="7"/>
      <c r="B79" s="7"/>
      <c r="C79" s="7"/>
      <c r="D79" s="7"/>
      <c r="E79" s="7"/>
      <c r="F79" s="7"/>
      <c r="G79" s="7"/>
      <c r="H79" s="7"/>
      <c r="I79" s="7"/>
      <c r="J79" s="7"/>
      <c r="K79" s="7"/>
      <c r="L79" s="7"/>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row>
    <row r="80" customFormat="false" ht="15" hidden="false" customHeight="true" outlineLevel="0" collapsed="false">
      <c r="A80" s="7"/>
      <c r="B80" s="7"/>
      <c r="C80" s="7"/>
      <c r="D80" s="7"/>
      <c r="E80" s="7"/>
      <c r="F80" s="7"/>
      <c r="G80" s="7"/>
      <c r="H80" s="7"/>
      <c r="I80" s="7"/>
      <c r="J80" s="7"/>
      <c r="K80" s="7"/>
      <c r="L80" s="7"/>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row>
    <row r="81" customFormat="false" ht="15" hidden="false" customHeight="true" outlineLevel="0" collapsed="false">
      <c r="A81" s="7"/>
      <c r="B81" s="7"/>
      <c r="C81" s="7"/>
      <c r="D81" s="7"/>
      <c r="E81" s="7"/>
      <c r="F81" s="7"/>
      <c r="G81" s="7"/>
      <c r="H81" s="7"/>
      <c r="I81" s="7"/>
      <c r="J81" s="7"/>
      <c r="K81" s="7"/>
      <c r="L81" s="7"/>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row>
    <row r="82" customFormat="false" ht="15" hidden="false" customHeight="true" outlineLevel="0" collapsed="false">
      <c r="A82" s="7"/>
      <c r="B82" s="7"/>
      <c r="C82" s="7"/>
      <c r="D82" s="7"/>
      <c r="E82" s="7"/>
      <c r="F82" s="7"/>
      <c r="G82" s="7"/>
      <c r="H82" s="7"/>
      <c r="I82" s="7"/>
      <c r="J82" s="7"/>
      <c r="K82" s="7"/>
      <c r="L82" s="7"/>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row>
    <row r="83" customFormat="false" ht="15" hidden="false" customHeight="true" outlineLevel="0" collapsed="false">
      <c r="A83" s="7"/>
      <c r="B83" s="7"/>
      <c r="C83" s="7"/>
      <c r="D83" s="7"/>
      <c r="E83" s="7"/>
      <c r="F83" s="7"/>
      <c r="G83" s="7"/>
      <c r="H83" s="7"/>
      <c r="I83" s="7"/>
      <c r="J83" s="7"/>
      <c r="K83" s="7"/>
      <c r="L83" s="7"/>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row>
    <row r="84" customFormat="false" ht="15" hidden="false" customHeight="true" outlineLevel="0" collapsed="false">
      <c r="A84" s="7"/>
      <c r="B84" s="7"/>
      <c r="C84" s="7"/>
      <c r="D84" s="7"/>
      <c r="E84" s="7"/>
      <c r="F84" s="7"/>
      <c r="G84" s="7"/>
      <c r="H84" s="7"/>
      <c r="I84" s="7"/>
      <c r="J84" s="7"/>
      <c r="K84" s="7"/>
      <c r="L84" s="7"/>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row>
    <row r="85" customFormat="false" ht="15" hidden="false" customHeight="true" outlineLevel="0" collapsed="false">
      <c r="A85" s="7"/>
      <c r="B85" s="7"/>
      <c r="C85" s="7"/>
      <c r="D85" s="7"/>
      <c r="E85" s="7"/>
      <c r="F85" s="7"/>
      <c r="G85" s="7"/>
      <c r="H85" s="7"/>
      <c r="I85" s="7"/>
      <c r="J85" s="7"/>
      <c r="K85" s="7"/>
      <c r="L85" s="7"/>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row>
    <row r="86" customFormat="false" ht="15" hidden="false" customHeight="true" outlineLevel="0" collapsed="false">
      <c r="A86" s="7"/>
      <c r="B86" s="7"/>
      <c r="C86" s="7"/>
      <c r="D86" s="7"/>
      <c r="E86" s="7"/>
      <c r="F86" s="7"/>
      <c r="G86" s="7"/>
      <c r="H86" s="7"/>
      <c r="I86" s="7"/>
      <c r="J86" s="7"/>
      <c r="K86" s="7"/>
      <c r="L86" s="7"/>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row>
    <row r="87" customFormat="false" ht="15" hidden="false" customHeight="true" outlineLevel="0" collapsed="false">
      <c r="A87" s="7"/>
      <c r="B87" s="7"/>
      <c r="C87" s="7"/>
      <c r="D87" s="7"/>
      <c r="E87" s="7"/>
      <c r="F87" s="7"/>
      <c r="G87" s="7"/>
      <c r="H87" s="7"/>
      <c r="I87" s="7"/>
      <c r="J87" s="7"/>
      <c r="K87" s="7"/>
      <c r="L87" s="7"/>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row>
    <row r="88" customFormat="false" ht="15" hidden="false" customHeight="true" outlineLevel="0" collapsed="false">
      <c r="A88" s="7"/>
      <c r="B88" s="7"/>
      <c r="C88" s="7"/>
      <c r="D88" s="7"/>
      <c r="E88" s="7"/>
      <c r="F88" s="7"/>
      <c r="G88" s="7"/>
      <c r="H88" s="7"/>
      <c r="I88" s="7"/>
      <c r="J88" s="7"/>
      <c r="K88" s="7"/>
      <c r="L88" s="7"/>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row>
    <row r="89" customFormat="false" ht="15" hidden="false" customHeight="true" outlineLevel="0" collapsed="false">
      <c r="A89" s="7"/>
      <c r="B89" s="7"/>
      <c r="C89" s="7"/>
      <c r="D89" s="7"/>
      <c r="E89" s="7"/>
      <c r="F89" s="7"/>
      <c r="G89" s="7"/>
      <c r="H89" s="7"/>
      <c r="I89" s="7"/>
      <c r="J89" s="7"/>
      <c r="K89" s="7"/>
      <c r="L89" s="7"/>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row>
    <row r="90" customFormat="false" ht="15" hidden="false" customHeight="true" outlineLevel="0" collapsed="false">
      <c r="A90" s="7"/>
      <c r="B90" s="7"/>
      <c r="C90" s="7"/>
      <c r="D90" s="7"/>
      <c r="E90" s="7"/>
      <c r="F90" s="7"/>
      <c r="G90" s="7"/>
      <c r="H90" s="7"/>
      <c r="I90" s="7"/>
      <c r="J90" s="7"/>
      <c r="K90" s="7"/>
      <c r="L90" s="7"/>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row>
    <row r="91" customFormat="false" ht="15" hidden="false" customHeight="true" outlineLevel="0" collapsed="false">
      <c r="A91" s="7"/>
      <c r="B91" s="7"/>
      <c r="C91" s="7"/>
      <c r="D91" s="7"/>
      <c r="E91" s="7"/>
      <c r="F91" s="7"/>
      <c r="G91" s="7"/>
      <c r="H91" s="7"/>
      <c r="I91" s="7"/>
      <c r="J91" s="7"/>
      <c r="K91" s="7"/>
      <c r="L91" s="7"/>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row>
    <row r="92" customFormat="false" ht="15" hidden="false" customHeight="true" outlineLevel="0" collapsed="false">
      <c r="A92" s="7"/>
      <c r="B92" s="7"/>
      <c r="C92" s="7"/>
      <c r="D92" s="7"/>
      <c r="E92" s="7"/>
      <c r="F92" s="7"/>
      <c r="G92" s="7"/>
      <c r="H92" s="7"/>
      <c r="I92" s="7"/>
      <c r="J92" s="7"/>
      <c r="K92" s="7"/>
      <c r="L92" s="7"/>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row>
    <row r="93" customFormat="false" ht="15" hidden="false" customHeight="true" outlineLevel="0" collapsed="false">
      <c r="A93" s="7"/>
      <c r="B93" s="7"/>
      <c r="C93" s="7"/>
      <c r="D93" s="7"/>
      <c r="E93" s="7"/>
      <c r="F93" s="7"/>
      <c r="G93" s="7"/>
      <c r="H93" s="7"/>
      <c r="I93" s="7"/>
      <c r="J93" s="7"/>
      <c r="K93" s="7"/>
      <c r="L93" s="7"/>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row>
    <row r="94" customFormat="false" ht="15" hidden="false" customHeight="true" outlineLevel="0" collapsed="false">
      <c r="A94" s="7"/>
      <c r="B94" s="7"/>
      <c r="C94" s="7"/>
      <c r="D94" s="7"/>
      <c r="E94" s="7"/>
      <c r="F94" s="7"/>
      <c r="G94" s="7"/>
      <c r="H94" s="7"/>
      <c r="I94" s="7"/>
      <c r="J94" s="7"/>
      <c r="K94" s="7"/>
      <c r="L94" s="7"/>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row>
    <row r="95" customFormat="false" ht="15" hidden="false" customHeight="true" outlineLevel="0" collapsed="false">
      <c r="A95" s="7"/>
      <c r="B95" s="7"/>
      <c r="C95" s="7"/>
      <c r="D95" s="7"/>
      <c r="E95" s="7"/>
      <c r="F95" s="7"/>
      <c r="G95" s="7"/>
      <c r="H95" s="7"/>
      <c r="I95" s="7"/>
      <c r="J95" s="7"/>
      <c r="K95" s="7"/>
      <c r="L95" s="7"/>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row>
    <row r="96" customFormat="false" ht="15" hidden="false" customHeight="true" outlineLevel="0" collapsed="false">
      <c r="A96" s="7"/>
      <c r="B96" s="7"/>
      <c r="C96" s="7"/>
      <c r="D96" s="7"/>
      <c r="E96" s="7"/>
      <c r="F96" s="7"/>
      <c r="G96" s="7"/>
      <c r="H96" s="7"/>
      <c r="I96" s="7"/>
      <c r="J96" s="7"/>
      <c r="K96" s="7"/>
      <c r="L96" s="7"/>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row>
    <row r="97" customFormat="false" ht="15" hidden="false" customHeight="true" outlineLevel="0" collapsed="false">
      <c r="A97" s="7"/>
      <c r="B97" s="7"/>
      <c r="C97" s="7"/>
      <c r="D97" s="7"/>
      <c r="E97" s="7"/>
      <c r="F97" s="7"/>
      <c r="G97" s="7"/>
      <c r="H97" s="7"/>
      <c r="I97" s="7"/>
      <c r="J97" s="7"/>
      <c r="K97" s="7"/>
      <c r="L97" s="7"/>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row>
    <row r="98" customFormat="false" ht="15" hidden="false" customHeight="true" outlineLevel="0" collapsed="false">
      <c r="A98" s="7"/>
      <c r="B98" s="7"/>
      <c r="C98" s="7"/>
      <c r="D98" s="7"/>
      <c r="E98" s="7"/>
      <c r="F98" s="7"/>
      <c r="G98" s="7"/>
      <c r="H98" s="7"/>
      <c r="I98" s="7"/>
      <c r="J98" s="7"/>
      <c r="K98" s="7"/>
      <c r="L98" s="7"/>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row>
    <row r="99" customFormat="false" ht="15" hidden="false" customHeight="true" outlineLevel="0" collapsed="false">
      <c r="A99" s="7"/>
      <c r="B99" s="7"/>
      <c r="C99" s="7"/>
      <c r="D99" s="7"/>
      <c r="E99" s="7"/>
      <c r="F99" s="7"/>
      <c r="G99" s="7"/>
      <c r="H99" s="7"/>
      <c r="I99" s="7"/>
      <c r="J99" s="7"/>
      <c r="K99" s="7"/>
      <c r="L99" s="7"/>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row>
    <row r="100" customFormat="false" ht="15" hidden="false" customHeight="true" outlineLevel="0" collapsed="false">
      <c r="A100" s="7"/>
      <c r="B100" s="7"/>
      <c r="C100" s="7"/>
      <c r="D100" s="7"/>
      <c r="E100" s="7"/>
      <c r="F100" s="7"/>
      <c r="G100" s="7"/>
      <c r="H100" s="7"/>
      <c r="I100" s="7"/>
      <c r="J100" s="7"/>
      <c r="K100" s="7"/>
      <c r="L100" s="7"/>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row>
    <row r="101" customFormat="false" ht="15" hidden="false" customHeight="true" outlineLevel="0" collapsed="false">
      <c r="A101" s="7"/>
      <c r="B101" s="7"/>
      <c r="C101" s="7"/>
      <c r="D101" s="7"/>
      <c r="E101" s="7"/>
      <c r="F101" s="7"/>
      <c r="G101" s="7"/>
      <c r="H101" s="7"/>
      <c r="I101" s="7"/>
      <c r="J101" s="7"/>
      <c r="K101" s="7"/>
      <c r="L101" s="7"/>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row>
    <row r="102" customFormat="false" ht="15" hidden="false" customHeight="true" outlineLevel="0" collapsed="false">
      <c r="A102" s="7"/>
      <c r="B102" s="7"/>
      <c r="C102" s="7"/>
      <c r="D102" s="7"/>
      <c r="E102" s="7"/>
      <c r="F102" s="7"/>
      <c r="G102" s="7"/>
      <c r="H102" s="7"/>
      <c r="I102" s="7"/>
      <c r="J102" s="7"/>
      <c r="K102" s="7"/>
      <c r="L102" s="7"/>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row>
    <row r="103" customFormat="false" ht="15" hidden="false" customHeight="true" outlineLevel="0" collapsed="false">
      <c r="A103" s="7"/>
      <c r="B103" s="7"/>
      <c r="C103" s="7"/>
      <c r="D103" s="7"/>
      <c r="E103" s="7"/>
      <c r="F103" s="7"/>
      <c r="G103" s="7"/>
      <c r="H103" s="7"/>
      <c r="I103" s="7"/>
      <c r="J103" s="7"/>
      <c r="K103" s="7"/>
      <c r="L103" s="7"/>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row>
    <row r="104" customFormat="false" ht="15" hidden="false" customHeight="true" outlineLevel="0" collapsed="false">
      <c r="A104" s="7"/>
      <c r="B104" s="7"/>
      <c r="C104" s="7"/>
      <c r="D104" s="7"/>
      <c r="E104" s="7"/>
      <c r="F104" s="7"/>
      <c r="G104" s="7"/>
      <c r="H104" s="7"/>
      <c r="I104" s="7"/>
      <c r="J104" s="7"/>
      <c r="K104" s="7"/>
      <c r="L104" s="7"/>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row>
    <row r="105" customFormat="false" ht="15" hidden="false" customHeight="true" outlineLevel="0" collapsed="false">
      <c r="A105" s="7"/>
      <c r="B105" s="7"/>
      <c r="C105" s="7"/>
      <c r="D105" s="7"/>
      <c r="E105" s="7"/>
      <c r="F105" s="7"/>
      <c r="G105" s="7"/>
      <c r="H105" s="7"/>
      <c r="I105" s="7"/>
      <c r="J105" s="7"/>
      <c r="K105" s="7"/>
      <c r="L105" s="7"/>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row>
    <row r="106" customFormat="false" ht="15" hidden="false" customHeight="true" outlineLevel="0" collapsed="false">
      <c r="A106" s="7"/>
      <c r="B106" s="7"/>
      <c r="C106" s="7"/>
      <c r="D106" s="7"/>
      <c r="E106" s="7"/>
      <c r="F106" s="7"/>
      <c r="G106" s="7"/>
      <c r="H106" s="7"/>
      <c r="I106" s="7"/>
      <c r="J106" s="7"/>
      <c r="K106" s="7"/>
      <c r="L106" s="7"/>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row>
    <row r="107" customFormat="false" ht="15" hidden="false" customHeight="true" outlineLevel="0" collapsed="false">
      <c r="A107" s="7"/>
      <c r="B107" s="7"/>
      <c r="C107" s="7"/>
      <c r="D107" s="7"/>
      <c r="E107" s="7"/>
      <c r="F107" s="7"/>
      <c r="G107" s="7"/>
      <c r="H107" s="7"/>
      <c r="I107" s="7"/>
      <c r="J107" s="7"/>
      <c r="K107" s="7"/>
      <c r="L107" s="7"/>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row>
    <row r="108" customFormat="false" ht="15" hidden="false" customHeight="true" outlineLevel="0" collapsed="false">
      <c r="A108" s="7"/>
      <c r="B108" s="7"/>
      <c r="C108" s="7"/>
      <c r="D108" s="7"/>
      <c r="E108" s="7"/>
      <c r="F108" s="7"/>
      <c r="G108" s="7"/>
      <c r="H108" s="7"/>
      <c r="I108" s="7"/>
      <c r="J108" s="7"/>
      <c r="K108" s="7"/>
      <c r="L108" s="7"/>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row>
    <row r="109" customFormat="false" ht="15" hidden="false" customHeight="true" outlineLevel="0" collapsed="false">
      <c r="A109" s="7"/>
      <c r="B109" s="7"/>
      <c r="C109" s="7"/>
      <c r="D109" s="7"/>
      <c r="E109" s="7"/>
      <c r="F109" s="7"/>
      <c r="G109" s="7"/>
      <c r="H109" s="7"/>
      <c r="I109" s="7"/>
      <c r="J109" s="7"/>
      <c r="K109" s="7"/>
      <c r="L109" s="7"/>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row>
    <row r="110" customFormat="false" ht="15" hidden="false" customHeight="true" outlineLevel="0" collapsed="false">
      <c r="A110" s="7"/>
      <c r="B110" s="7"/>
      <c r="C110" s="7"/>
      <c r="D110" s="7"/>
      <c r="E110" s="7"/>
      <c r="F110" s="7"/>
      <c r="G110" s="7"/>
      <c r="H110" s="7"/>
      <c r="I110" s="7"/>
      <c r="J110" s="7"/>
      <c r="K110" s="7"/>
      <c r="L110" s="7"/>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row>
    <row r="111" customFormat="false" ht="15" hidden="false" customHeight="true" outlineLevel="0" collapsed="false">
      <c r="A111" s="7"/>
      <c r="B111" s="7"/>
      <c r="C111" s="7"/>
      <c r="D111" s="7"/>
      <c r="E111" s="7"/>
      <c r="F111" s="7"/>
      <c r="G111" s="7"/>
      <c r="H111" s="7"/>
      <c r="I111" s="7"/>
      <c r="J111" s="7"/>
      <c r="K111" s="7"/>
      <c r="L111" s="7"/>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row>
    <row r="112" customFormat="false" ht="15" hidden="false" customHeight="true" outlineLevel="0" collapsed="false">
      <c r="A112" s="7"/>
      <c r="B112" s="7"/>
      <c r="C112" s="7"/>
      <c r="D112" s="7"/>
      <c r="E112" s="7"/>
      <c r="F112" s="7"/>
      <c r="G112" s="7"/>
      <c r="H112" s="7"/>
      <c r="I112" s="7"/>
      <c r="J112" s="7"/>
      <c r="K112" s="7"/>
      <c r="L112" s="7"/>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row>
    <row r="113" customFormat="false" ht="15" hidden="false" customHeight="true" outlineLevel="0" collapsed="false">
      <c r="A113" s="7"/>
      <c r="B113" s="7"/>
      <c r="C113" s="7"/>
      <c r="D113" s="7"/>
      <c r="E113" s="7"/>
      <c r="F113" s="7"/>
      <c r="G113" s="7"/>
      <c r="H113" s="7"/>
      <c r="I113" s="7"/>
      <c r="J113" s="7"/>
      <c r="K113" s="7"/>
      <c r="L113" s="7"/>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row>
    <row r="114" customFormat="false" ht="15" hidden="false" customHeight="true" outlineLevel="0" collapsed="false">
      <c r="A114" s="7"/>
      <c r="B114" s="7"/>
      <c r="C114" s="7"/>
      <c r="D114" s="7"/>
      <c r="E114" s="7"/>
      <c r="F114" s="7"/>
      <c r="G114" s="7"/>
      <c r="H114" s="7"/>
      <c r="I114" s="7"/>
      <c r="J114" s="7"/>
      <c r="K114" s="7"/>
      <c r="L114" s="7"/>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row>
    <row r="115" customFormat="false" ht="15" hidden="false" customHeight="true" outlineLevel="0" collapsed="false">
      <c r="A115" s="7"/>
      <c r="B115" s="7"/>
      <c r="C115" s="7"/>
      <c r="D115" s="7"/>
      <c r="E115" s="7"/>
      <c r="F115" s="7"/>
      <c r="G115" s="7"/>
      <c r="H115" s="7"/>
      <c r="I115" s="7"/>
      <c r="J115" s="7"/>
      <c r="K115" s="7"/>
      <c r="L115" s="7"/>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row>
    <row r="116" customFormat="false" ht="15" hidden="false" customHeight="true" outlineLevel="0" collapsed="false">
      <c r="A116" s="7"/>
      <c r="B116" s="7"/>
      <c r="C116" s="7"/>
      <c r="D116" s="7"/>
      <c r="E116" s="7"/>
      <c r="F116" s="7"/>
      <c r="G116" s="7"/>
      <c r="H116" s="7"/>
      <c r="I116" s="7"/>
      <c r="J116" s="7"/>
      <c r="K116" s="7"/>
      <c r="L116" s="7"/>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row>
    <row r="117" customFormat="false" ht="15" hidden="false" customHeight="true" outlineLevel="0" collapsed="false">
      <c r="A117" s="7"/>
      <c r="B117" s="7"/>
      <c r="C117" s="7"/>
      <c r="D117" s="7"/>
      <c r="E117" s="7"/>
      <c r="F117" s="7"/>
      <c r="G117" s="7"/>
      <c r="H117" s="7"/>
      <c r="I117" s="7"/>
      <c r="J117" s="7"/>
      <c r="K117" s="7"/>
      <c r="L117" s="7"/>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row>
    <row r="118" customFormat="false" ht="15" hidden="false" customHeight="true" outlineLevel="0" collapsed="false">
      <c r="A118" s="7"/>
      <c r="B118" s="7"/>
      <c r="C118" s="7"/>
      <c r="D118" s="7"/>
      <c r="E118" s="7"/>
      <c r="F118" s="7"/>
      <c r="G118" s="7"/>
      <c r="H118" s="7"/>
      <c r="I118" s="7"/>
      <c r="J118" s="7"/>
      <c r="K118" s="7"/>
      <c r="L118" s="7"/>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row>
    <row r="119" customFormat="false" ht="15" hidden="false" customHeight="true" outlineLevel="0" collapsed="false">
      <c r="A119" s="7"/>
      <c r="B119" s="7"/>
      <c r="C119" s="7"/>
      <c r="D119" s="7"/>
      <c r="E119" s="7"/>
      <c r="F119" s="7"/>
      <c r="G119" s="7"/>
      <c r="H119" s="7"/>
      <c r="I119" s="7"/>
      <c r="J119" s="7"/>
      <c r="K119" s="7"/>
      <c r="L119" s="7"/>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row>
    <row r="120" customFormat="false" ht="15" hidden="false" customHeight="true" outlineLevel="0" collapsed="false">
      <c r="A120" s="7"/>
      <c r="B120" s="7"/>
      <c r="C120" s="7"/>
      <c r="D120" s="7"/>
      <c r="E120" s="7"/>
      <c r="F120" s="7"/>
      <c r="G120" s="7"/>
      <c r="H120" s="7"/>
      <c r="I120" s="7"/>
      <c r="J120" s="7"/>
      <c r="K120" s="7"/>
      <c r="L120" s="7"/>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row>
    <row r="121" customFormat="false" ht="15" hidden="false" customHeight="true" outlineLevel="0" collapsed="false">
      <c r="A121" s="7"/>
      <c r="B121" s="7"/>
      <c r="C121" s="7"/>
      <c r="D121" s="7"/>
      <c r="E121" s="7"/>
      <c r="F121" s="7"/>
      <c r="G121" s="7"/>
      <c r="H121" s="7"/>
      <c r="I121" s="7"/>
      <c r="J121" s="7"/>
      <c r="K121" s="7"/>
      <c r="L121" s="7"/>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row>
    <row r="122" customFormat="false" ht="15" hidden="false" customHeight="true" outlineLevel="0" collapsed="false">
      <c r="A122" s="7"/>
      <c r="B122" s="7"/>
      <c r="C122" s="7"/>
      <c r="D122" s="7"/>
      <c r="E122" s="7"/>
      <c r="F122" s="7"/>
      <c r="G122" s="7"/>
      <c r="H122" s="7"/>
      <c r="I122" s="7"/>
      <c r="J122" s="7"/>
      <c r="K122" s="7"/>
      <c r="L122" s="7"/>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row>
    <row r="123" customFormat="false" ht="15" hidden="false" customHeight="true" outlineLevel="0" collapsed="false">
      <c r="A123" s="7"/>
      <c r="B123" s="7"/>
      <c r="C123" s="7"/>
      <c r="D123" s="7"/>
      <c r="E123" s="7"/>
      <c r="F123" s="7"/>
      <c r="G123" s="7"/>
      <c r="H123" s="7"/>
      <c r="I123" s="7"/>
      <c r="J123" s="7"/>
      <c r="K123" s="7"/>
      <c r="L123" s="7"/>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row>
    <row r="124" customFormat="false" ht="15" hidden="false" customHeight="true" outlineLevel="0" collapsed="false">
      <c r="A124" s="7"/>
      <c r="B124" s="7"/>
      <c r="C124" s="7"/>
      <c r="D124" s="7"/>
      <c r="E124" s="7"/>
      <c r="F124" s="7"/>
      <c r="G124" s="7"/>
      <c r="H124" s="7"/>
      <c r="I124" s="7"/>
      <c r="J124" s="7"/>
      <c r="K124" s="7"/>
      <c r="L124" s="7"/>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row>
    <row r="125" customFormat="false" ht="15" hidden="false" customHeight="true" outlineLevel="0" collapsed="false">
      <c r="A125" s="7"/>
      <c r="B125" s="7"/>
      <c r="C125" s="7"/>
      <c r="D125" s="7"/>
      <c r="E125" s="7"/>
      <c r="F125" s="7"/>
      <c r="G125" s="7"/>
      <c r="H125" s="7"/>
      <c r="I125" s="7"/>
      <c r="J125" s="7"/>
      <c r="K125" s="7"/>
      <c r="L125" s="7"/>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row>
    <row r="126" customFormat="false" ht="15" hidden="false" customHeight="true" outlineLevel="0" collapsed="false">
      <c r="A126" s="7"/>
      <c r="B126" s="7"/>
      <c r="C126" s="7"/>
      <c r="D126" s="7"/>
      <c r="E126" s="7"/>
      <c r="F126" s="7"/>
      <c r="G126" s="7"/>
      <c r="H126" s="7"/>
      <c r="I126" s="7"/>
      <c r="J126" s="7"/>
      <c r="K126" s="7"/>
      <c r="L126" s="7"/>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row>
    <row r="127" customFormat="false" ht="15" hidden="false" customHeight="true" outlineLevel="0" collapsed="false">
      <c r="A127" s="7"/>
      <c r="B127" s="7"/>
      <c r="C127" s="7"/>
      <c r="D127" s="7"/>
      <c r="E127" s="7"/>
      <c r="F127" s="7"/>
      <c r="G127" s="7"/>
      <c r="H127" s="7"/>
      <c r="I127" s="7"/>
      <c r="J127" s="7"/>
      <c r="K127" s="7"/>
      <c r="L127" s="7"/>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row>
    <row r="128" customFormat="false" ht="15" hidden="false" customHeight="true" outlineLevel="0" collapsed="false">
      <c r="A128" s="7"/>
      <c r="B128" s="7"/>
      <c r="C128" s="7"/>
      <c r="D128" s="7"/>
      <c r="E128" s="7"/>
      <c r="F128" s="7"/>
      <c r="G128" s="7"/>
      <c r="H128" s="7"/>
      <c r="I128" s="7"/>
      <c r="J128" s="7"/>
      <c r="K128" s="7"/>
      <c r="L128" s="7"/>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row>
    <row r="129" customFormat="false" ht="15" hidden="false" customHeight="true" outlineLevel="0" collapsed="false">
      <c r="A129" s="7"/>
      <c r="B129" s="7"/>
      <c r="C129" s="7"/>
      <c r="D129" s="7"/>
      <c r="E129" s="7"/>
      <c r="F129" s="7"/>
      <c r="G129" s="7"/>
      <c r="H129" s="7"/>
      <c r="I129" s="7"/>
      <c r="J129" s="7"/>
      <c r="K129" s="7"/>
      <c r="L129" s="7"/>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row>
    <row r="130" customFormat="false" ht="15" hidden="false" customHeight="true" outlineLevel="0" collapsed="false">
      <c r="A130" s="7"/>
      <c r="B130" s="7"/>
      <c r="C130" s="7"/>
      <c r="D130" s="7"/>
      <c r="E130" s="7"/>
      <c r="F130" s="7"/>
      <c r="G130" s="7"/>
      <c r="H130" s="7"/>
      <c r="I130" s="7"/>
      <c r="J130" s="7"/>
      <c r="K130" s="7"/>
      <c r="L130" s="7"/>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row>
    <row r="131" customFormat="false" ht="15" hidden="false" customHeight="true" outlineLevel="0" collapsed="false">
      <c r="A131" s="7"/>
      <c r="B131" s="7"/>
      <c r="C131" s="7"/>
      <c r="D131" s="7"/>
      <c r="E131" s="7"/>
      <c r="F131" s="7"/>
      <c r="G131" s="7"/>
      <c r="H131" s="7"/>
      <c r="I131" s="7"/>
      <c r="J131" s="7"/>
      <c r="K131" s="7"/>
      <c r="L131" s="7"/>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row>
    <row r="132" customFormat="false" ht="15" hidden="false" customHeight="true" outlineLevel="0" collapsed="false">
      <c r="A132" s="7"/>
      <c r="B132" s="7"/>
      <c r="C132" s="7"/>
      <c r="D132" s="7"/>
      <c r="E132" s="7"/>
      <c r="F132" s="7"/>
      <c r="G132" s="7"/>
      <c r="H132" s="7"/>
      <c r="I132" s="7"/>
      <c r="J132" s="7"/>
      <c r="K132" s="7"/>
      <c r="L132" s="7"/>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row>
    <row r="133" customFormat="false" ht="15" hidden="false" customHeight="true" outlineLevel="0" collapsed="false">
      <c r="A133" s="7"/>
      <c r="B133" s="7"/>
      <c r="C133" s="7"/>
      <c r="D133" s="7"/>
      <c r="E133" s="7"/>
      <c r="F133" s="7"/>
      <c r="G133" s="7"/>
      <c r="H133" s="7"/>
      <c r="I133" s="7"/>
      <c r="J133" s="7"/>
      <c r="K133" s="7"/>
      <c r="L133" s="7"/>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row>
    <row r="134" customFormat="false" ht="15" hidden="false" customHeight="true" outlineLevel="0" collapsed="false">
      <c r="A134" s="7"/>
      <c r="B134" s="7"/>
      <c r="C134" s="7"/>
      <c r="D134" s="7"/>
      <c r="E134" s="7"/>
      <c r="F134" s="7"/>
      <c r="G134" s="7"/>
      <c r="H134" s="7"/>
      <c r="I134" s="7"/>
      <c r="J134" s="7"/>
      <c r="K134" s="7"/>
      <c r="L134" s="7"/>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row>
    <row r="135" customFormat="false" ht="15" hidden="false" customHeight="true" outlineLevel="0" collapsed="false">
      <c r="A135" s="7"/>
      <c r="B135" s="7"/>
      <c r="C135" s="7"/>
      <c r="D135" s="7"/>
      <c r="E135" s="7"/>
      <c r="F135" s="7"/>
      <c r="G135" s="7"/>
      <c r="H135" s="7"/>
      <c r="I135" s="7"/>
      <c r="J135" s="7"/>
      <c r="K135" s="7"/>
      <c r="L135" s="7"/>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row>
    <row r="136" customFormat="false" ht="15" hidden="false" customHeight="true" outlineLevel="0" collapsed="false">
      <c r="A136" s="7"/>
      <c r="B136" s="7"/>
      <c r="C136" s="7"/>
      <c r="D136" s="7"/>
      <c r="E136" s="7"/>
      <c r="F136" s="7"/>
      <c r="G136" s="7"/>
      <c r="H136" s="7"/>
      <c r="I136" s="7"/>
      <c r="J136" s="7"/>
      <c r="K136" s="7"/>
      <c r="L136" s="7"/>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row>
    <row r="137" customFormat="false" ht="15" hidden="false" customHeight="true" outlineLevel="0" collapsed="false">
      <c r="A137" s="7"/>
      <c r="B137" s="7"/>
      <c r="C137" s="7"/>
      <c r="D137" s="7"/>
      <c r="E137" s="7"/>
      <c r="F137" s="7"/>
      <c r="G137" s="7"/>
      <c r="H137" s="7"/>
      <c r="I137" s="7"/>
      <c r="J137" s="7"/>
      <c r="K137" s="7"/>
      <c r="L137" s="7"/>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row>
    <row r="138" customFormat="false" ht="15" hidden="false" customHeight="true" outlineLevel="0" collapsed="false">
      <c r="A138" s="7"/>
      <c r="B138" s="7"/>
      <c r="C138" s="7"/>
      <c r="D138" s="7"/>
      <c r="E138" s="7"/>
      <c r="F138" s="7"/>
      <c r="G138" s="7"/>
      <c r="H138" s="7"/>
      <c r="I138" s="7"/>
      <c r="J138" s="7"/>
      <c r="K138" s="7"/>
      <c r="L138" s="7"/>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row>
    <row r="139" customFormat="false" ht="15" hidden="false" customHeight="true" outlineLevel="0" collapsed="false">
      <c r="A139" s="7"/>
      <c r="B139" s="7"/>
      <c r="C139" s="7"/>
      <c r="D139" s="7"/>
      <c r="E139" s="7"/>
      <c r="F139" s="7"/>
      <c r="G139" s="7"/>
      <c r="H139" s="7"/>
      <c r="I139" s="7"/>
      <c r="J139" s="7"/>
      <c r="K139" s="7"/>
      <c r="L139" s="7"/>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row>
    <row r="140" customFormat="false" ht="15" hidden="false" customHeight="true" outlineLevel="0" collapsed="false">
      <c r="A140" s="7"/>
      <c r="B140" s="7"/>
      <c r="C140" s="7"/>
      <c r="D140" s="7"/>
      <c r="E140" s="7"/>
      <c r="F140" s="7"/>
      <c r="G140" s="7"/>
      <c r="H140" s="7"/>
      <c r="I140" s="7"/>
      <c r="J140" s="7"/>
      <c r="K140" s="7"/>
      <c r="L140" s="7"/>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row>
    <row r="141" customFormat="false" ht="15" hidden="false" customHeight="true" outlineLevel="0" collapsed="false">
      <c r="A141" s="7"/>
      <c r="B141" s="7"/>
      <c r="C141" s="7"/>
      <c r="D141" s="7"/>
      <c r="E141" s="7"/>
      <c r="F141" s="7"/>
      <c r="G141" s="7"/>
      <c r="H141" s="7"/>
      <c r="I141" s="7"/>
      <c r="J141" s="7"/>
      <c r="K141" s="7"/>
      <c r="L141" s="7"/>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row>
    <row r="142" customFormat="false" ht="15" hidden="false" customHeight="true" outlineLevel="0" collapsed="false">
      <c r="A142" s="7"/>
      <c r="B142" s="7"/>
      <c r="C142" s="7"/>
      <c r="D142" s="7"/>
      <c r="E142" s="7"/>
      <c r="F142" s="7"/>
      <c r="G142" s="7"/>
      <c r="H142" s="7"/>
      <c r="I142" s="7"/>
      <c r="J142" s="7"/>
      <c r="K142" s="7"/>
      <c r="L142" s="7"/>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row>
    <row r="143" customFormat="false" ht="15" hidden="false" customHeight="true" outlineLevel="0" collapsed="false">
      <c r="A143" s="7"/>
      <c r="B143" s="7"/>
      <c r="C143" s="7"/>
      <c r="D143" s="7"/>
      <c r="E143" s="7"/>
      <c r="F143" s="7"/>
      <c r="G143" s="7"/>
      <c r="H143" s="7"/>
      <c r="I143" s="7"/>
      <c r="J143" s="7"/>
      <c r="K143" s="7"/>
      <c r="L143" s="7"/>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row>
    <row r="144" customFormat="false" ht="15" hidden="false" customHeight="true" outlineLevel="0" collapsed="false">
      <c r="A144" s="7"/>
      <c r="B144" s="7"/>
      <c r="C144" s="7"/>
      <c r="D144" s="7"/>
      <c r="E144" s="7"/>
      <c r="F144" s="7"/>
      <c r="G144" s="7"/>
      <c r="H144" s="7"/>
      <c r="I144" s="7"/>
      <c r="J144" s="7"/>
      <c r="K144" s="7"/>
      <c r="L144" s="7"/>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row>
    <row r="145" customFormat="false" ht="15" hidden="false" customHeight="true" outlineLevel="0" collapsed="false">
      <c r="A145" s="7"/>
      <c r="B145" s="7"/>
      <c r="C145" s="7"/>
      <c r="D145" s="7"/>
      <c r="E145" s="7"/>
      <c r="F145" s="7"/>
      <c r="G145" s="7"/>
      <c r="H145" s="7"/>
      <c r="I145" s="7"/>
      <c r="J145" s="7"/>
      <c r="K145" s="7"/>
      <c r="L145" s="7"/>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row>
    <row r="146" customFormat="false" ht="15" hidden="false" customHeight="true" outlineLevel="0" collapsed="false">
      <c r="A146" s="7"/>
      <c r="B146" s="7"/>
      <c r="C146" s="7"/>
      <c r="D146" s="7"/>
      <c r="E146" s="7"/>
      <c r="F146" s="7"/>
      <c r="G146" s="7"/>
      <c r="H146" s="7"/>
      <c r="I146" s="7"/>
      <c r="J146" s="7"/>
      <c r="K146" s="7"/>
      <c r="L146" s="7"/>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row>
    <row r="147" customFormat="false" ht="15" hidden="false" customHeight="true" outlineLevel="0" collapsed="false">
      <c r="A147" s="7"/>
      <c r="B147" s="7"/>
      <c r="C147" s="7"/>
      <c r="D147" s="7"/>
      <c r="E147" s="7"/>
      <c r="F147" s="7"/>
      <c r="G147" s="7"/>
      <c r="H147" s="7"/>
      <c r="I147" s="7"/>
      <c r="J147" s="7"/>
      <c r="K147" s="7"/>
      <c r="L147" s="7"/>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row>
    <row r="148" customFormat="false" ht="15" hidden="false" customHeight="true" outlineLevel="0" collapsed="false">
      <c r="A148" s="7"/>
      <c r="B148" s="7"/>
      <c r="C148" s="7"/>
      <c r="D148" s="7"/>
      <c r="E148" s="7"/>
      <c r="F148" s="7"/>
      <c r="G148" s="7"/>
      <c r="H148" s="7"/>
      <c r="I148" s="7"/>
      <c r="J148" s="7"/>
      <c r="K148" s="7"/>
      <c r="L148" s="7"/>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row>
    <row r="149" customFormat="false" ht="15" hidden="false" customHeight="true" outlineLevel="0" collapsed="false">
      <c r="A149" s="7"/>
      <c r="B149" s="7"/>
      <c r="C149" s="7"/>
      <c r="D149" s="7"/>
      <c r="E149" s="7"/>
      <c r="F149" s="7"/>
      <c r="G149" s="7"/>
      <c r="H149" s="7"/>
      <c r="I149" s="7"/>
      <c r="J149" s="7"/>
      <c r="K149" s="7"/>
      <c r="L149" s="7"/>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row>
    <row r="150" customFormat="false" ht="15" hidden="false" customHeight="true" outlineLevel="0" collapsed="false">
      <c r="A150" s="7"/>
      <c r="B150" s="7"/>
      <c r="C150" s="7"/>
      <c r="D150" s="7"/>
      <c r="E150" s="7"/>
      <c r="F150" s="7"/>
      <c r="G150" s="7"/>
      <c r="H150" s="7"/>
      <c r="I150" s="7"/>
      <c r="J150" s="7"/>
      <c r="K150" s="7"/>
      <c r="L150" s="7"/>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row>
    <row r="151" customFormat="false" ht="15" hidden="false" customHeight="true" outlineLevel="0" collapsed="false">
      <c r="A151" s="7"/>
      <c r="B151" s="7"/>
      <c r="C151" s="7"/>
      <c r="D151" s="7"/>
      <c r="E151" s="7"/>
      <c r="F151" s="7"/>
      <c r="G151" s="7"/>
      <c r="H151" s="7"/>
      <c r="I151" s="7"/>
      <c r="J151" s="7"/>
      <c r="K151" s="7"/>
      <c r="L151" s="7"/>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row>
    <row r="152" customFormat="false" ht="15" hidden="false" customHeight="true" outlineLevel="0" collapsed="false">
      <c r="A152" s="7"/>
      <c r="B152" s="7"/>
      <c r="C152" s="7"/>
      <c r="D152" s="7"/>
      <c r="E152" s="7"/>
      <c r="F152" s="7"/>
      <c r="G152" s="7"/>
      <c r="H152" s="7"/>
      <c r="I152" s="7"/>
      <c r="J152" s="7"/>
      <c r="K152" s="7"/>
      <c r="L152" s="7"/>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row>
    <row r="153" customFormat="false" ht="15" hidden="false" customHeight="true" outlineLevel="0" collapsed="false">
      <c r="A153" s="7"/>
      <c r="B153" s="7"/>
      <c r="C153" s="7"/>
      <c r="D153" s="7"/>
      <c r="E153" s="7"/>
      <c r="F153" s="7"/>
      <c r="G153" s="7"/>
      <c r="H153" s="7"/>
      <c r="I153" s="7"/>
      <c r="J153" s="7"/>
      <c r="K153" s="7"/>
      <c r="L153" s="7"/>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row>
    <row r="154" customFormat="false" ht="15" hidden="false" customHeight="true" outlineLevel="0" collapsed="false">
      <c r="A154" s="7"/>
      <c r="B154" s="7"/>
      <c r="C154" s="7"/>
      <c r="D154" s="7"/>
      <c r="E154" s="7"/>
      <c r="F154" s="7"/>
      <c r="G154" s="7"/>
      <c r="H154" s="7"/>
      <c r="I154" s="7"/>
      <c r="J154" s="7"/>
      <c r="K154" s="7"/>
      <c r="L154" s="7"/>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row>
    <row r="155" customFormat="false" ht="15" hidden="false" customHeight="true" outlineLevel="0" collapsed="false">
      <c r="A155" s="7"/>
      <c r="B155" s="7"/>
      <c r="C155" s="7"/>
      <c r="D155" s="7"/>
      <c r="E155" s="7"/>
      <c r="F155" s="7"/>
      <c r="G155" s="7"/>
      <c r="H155" s="7"/>
      <c r="I155" s="7"/>
      <c r="J155" s="7"/>
      <c r="K155" s="7"/>
      <c r="L155" s="7"/>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row>
    <row r="156" customFormat="false" ht="15" hidden="false" customHeight="true" outlineLevel="0" collapsed="false">
      <c r="A156" s="7"/>
      <c r="B156" s="7"/>
      <c r="C156" s="7"/>
      <c r="D156" s="7"/>
      <c r="E156" s="7"/>
      <c r="F156" s="7"/>
      <c r="G156" s="7"/>
      <c r="H156" s="7"/>
      <c r="I156" s="7"/>
      <c r="J156" s="7"/>
      <c r="K156" s="7"/>
      <c r="L156" s="7"/>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row>
    <row r="157" customFormat="false" ht="15" hidden="false" customHeight="true" outlineLevel="0" collapsed="false">
      <c r="A157" s="7"/>
      <c r="B157" s="7"/>
      <c r="C157" s="7"/>
      <c r="D157" s="7"/>
      <c r="E157" s="7"/>
      <c r="F157" s="7"/>
      <c r="G157" s="7"/>
      <c r="H157" s="7"/>
      <c r="I157" s="7"/>
      <c r="J157" s="7"/>
      <c r="K157" s="7"/>
      <c r="L157" s="7"/>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row>
    <row r="158" customFormat="false" ht="15" hidden="false" customHeight="true" outlineLevel="0" collapsed="false">
      <c r="A158" s="7"/>
      <c r="B158" s="7"/>
      <c r="C158" s="7"/>
      <c r="D158" s="7"/>
      <c r="E158" s="7"/>
      <c r="F158" s="7"/>
      <c r="G158" s="7"/>
      <c r="H158" s="7"/>
      <c r="I158" s="7"/>
      <c r="J158" s="7"/>
      <c r="K158" s="7"/>
      <c r="L158" s="7"/>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row>
    <row r="159" customFormat="false" ht="15" hidden="false" customHeight="true" outlineLevel="0" collapsed="false">
      <c r="A159" s="7"/>
      <c r="B159" s="7"/>
      <c r="C159" s="7"/>
      <c r="D159" s="7"/>
      <c r="E159" s="7"/>
      <c r="F159" s="7"/>
      <c r="G159" s="7"/>
      <c r="H159" s="7"/>
      <c r="I159" s="7"/>
      <c r="J159" s="7"/>
      <c r="K159" s="7"/>
      <c r="L159" s="7"/>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row>
    <row r="160" customFormat="false" ht="15" hidden="false" customHeight="true" outlineLevel="0" collapsed="false">
      <c r="A160" s="7"/>
      <c r="B160" s="7"/>
      <c r="C160" s="7"/>
      <c r="D160" s="7"/>
      <c r="E160" s="7"/>
      <c r="F160" s="7"/>
      <c r="G160" s="7"/>
      <c r="H160" s="7"/>
      <c r="I160" s="7"/>
      <c r="J160" s="7"/>
      <c r="K160" s="7"/>
      <c r="L160" s="7"/>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row>
    <row r="161" customFormat="false" ht="15" hidden="false" customHeight="true" outlineLevel="0" collapsed="false">
      <c r="A161" s="7"/>
      <c r="B161" s="7"/>
      <c r="C161" s="7"/>
      <c r="D161" s="7"/>
      <c r="E161" s="7"/>
      <c r="F161" s="7"/>
      <c r="G161" s="7"/>
      <c r="H161" s="7"/>
      <c r="I161" s="7"/>
      <c r="J161" s="7"/>
      <c r="K161" s="7"/>
      <c r="L161" s="7"/>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row>
    <row r="162" customFormat="false" ht="15" hidden="false" customHeight="true" outlineLevel="0" collapsed="false">
      <c r="A162" s="7"/>
      <c r="B162" s="7"/>
      <c r="C162" s="7"/>
      <c r="D162" s="7"/>
      <c r="E162" s="7"/>
      <c r="F162" s="7"/>
      <c r="G162" s="7"/>
      <c r="H162" s="7"/>
      <c r="I162" s="7"/>
      <c r="J162" s="7"/>
      <c r="K162" s="7"/>
      <c r="L162" s="7"/>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row>
    <row r="163" customFormat="false" ht="15" hidden="false" customHeight="true" outlineLevel="0" collapsed="false">
      <c r="A163" s="7"/>
      <c r="B163" s="7"/>
      <c r="C163" s="7"/>
      <c r="D163" s="7"/>
      <c r="E163" s="7"/>
      <c r="F163" s="7"/>
      <c r="G163" s="7"/>
      <c r="H163" s="7"/>
      <c r="I163" s="7"/>
      <c r="J163" s="7"/>
      <c r="K163" s="7"/>
      <c r="L163" s="7"/>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row>
    <row r="164" customFormat="false" ht="15" hidden="false" customHeight="true" outlineLevel="0" collapsed="false">
      <c r="A164" s="7"/>
      <c r="B164" s="7"/>
      <c r="C164" s="7"/>
      <c r="D164" s="7"/>
      <c r="E164" s="7"/>
      <c r="F164" s="7"/>
      <c r="G164" s="7"/>
      <c r="H164" s="7"/>
      <c r="I164" s="7"/>
      <c r="J164" s="7"/>
      <c r="K164" s="7"/>
      <c r="L164" s="7"/>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row>
    <row r="165" customFormat="false" ht="15" hidden="false" customHeight="true" outlineLevel="0" collapsed="false">
      <c r="A165" s="7"/>
      <c r="B165" s="7"/>
      <c r="C165" s="7"/>
      <c r="D165" s="7"/>
      <c r="E165" s="7"/>
      <c r="F165" s="7"/>
      <c r="G165" s="7"/>
      <c r="H165" s="7"/>
      <c r="I165" s="7"/>
      <c r="J165" s="7"/>
      <c r="K165" s="7"/>
      <c r="L165" s="7"/>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row>
    <row r="166" customFormat="false" ht="15" hidden="false" customHeight="true" outlineLevel="0" collapsed="false">
      <c r="A166" s="7"/>
      <c r="B166" s="7"/>
      <c r="C166" s="7"/>
      <c r="D166" s="7"/>
      <c r="E166" s="7"/>
      <c r="F166" s="7"/>
      <c r="G166" s="7"/>
      <c r="H166" s="7"/>
      <c r="I166" s="7"/>
      <c r="J166" s="7"/>
      <c r="K166" s="7"/>
      <c r="L166" s="7"/>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row>
    <row r="167" customFormat="false" ht="15" hidden="false" customHeight="true" outlineLevel="0" collapsed="false">
      <c r="A167" s="7"/>
      <c r="B167" s="7"/>
      <c r="C167" s="7"/>
      <c r="D167" s="7"/>
      <c r="E167" s="7"/>
      <c r="F167" s="7"/>
      <c r="G167" s="7"/>
      <c r="H167" s="7"/>
      <c r="I167" s="7"/>
      <c r="J167" s="7"/>
      <c r="K167" s="7"/>
      <c r="L167" s="7"/>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row>
    <row r="168" customFormat="false" ht="15" hidden="false" customHeight="true" outlineLevel="0" collapsed="false">
      <c r="A168" s="7"/>
      <c r="B168" s="7"/>
      <c r="C168" s="7"/>
      <c r="D168" s="7"/>
      <c r="E168" s="7"/>
      <c r="F168" s="7"/>
      <c r="G168" s="7"/>
      <c r="H168" s="7"/>
      <c r="I168" s="7"/>
      <c r="J168" s="7"/>
      <c r="K168" s="7"/>
      <c r="L168" s="7"/>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row>
    <row r="169" customFormat="false" ht="15" hidden="false" customHeight="true" outlineLevel="0" collapsed="false">
      <c r="A169" s="7"/>
      <c r="B169" s="7"/>
      <c r="C169" s="7"/>
      <c r="D169" s="7"/>
      <c r="E169" s="7"/>
      <c r="F169" s="7"/>
      <c r="G169" s="7"/>
      <c r="H169" s="7"/>
      <c r="I169" s="7"/>
      <c r="J169" s="7"/>
      <c r="K169" s="7"/>
      <c r="L169" s="7"/>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row>
    <row r="170" customFormat="false" ht="15" hidden="false" customHeight="true" outlineLevel="0" collapsed="false">
      <c r="A170" s="7"/>
      <c r="B170" s="7"/>
      <c r="C170" s="7"/>
      <c r="D170" s="7"/>
      <c r="E170" s="7"/>
      <c r="F170" s="7"/>
      <c r="G170" s="7"/>
      <c r="H170" s="7"/>
      <c r="I170" s="7"/>
      <c r="J170" s="7"/>
      <c r="K170" s="7"/>
      <c r="L170" s="7"/>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row>
    <row r="171" customFormat="false" ht="15" hidden="false" customHeight="true" outlineLevel="0" collapsed="false">
      <c r="A171" s="7"/>
      <c r="B171" s="7"/>
      <c r="C171" s="7"/>
      <c r="D171" s="7"/>
      <c r="E171" s="7"/>
      <c r="F171" s="7"/>
      <c r="G171" s="7"/>
      <c r="H171" s="7"/>
      <c r="I171" s="7"/>
      <c r="J171" s="7"/>
      <c r="K171" s="7"/>
      <c r="L171" s="7"/>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row>
    <row r="172" customFormat="false" ht="15" hidden="false" customHeight="true" outlineLevel="0" collapsed="false">
      <c r="A172" s="7"/>
      <c r="B172" s="7"/>
      <c r="C172" s="7"/>
      <c r="D172" s="7"/>
      <c r="E172" s="7"/>
      <c r="F172" s="7"/>
      <c r="G172" s="7"/>
      <c r="H172" s="7"/>
      <c r="I172" s="7"/>
      <c r="J172" s="7"/>
      <c r="K172" s="7"/>
      <c r="L172" s="7"/>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row>
    <row r="173" customFormat="false" ht="15" hidden="false" customHeight="true" outlineLevel="0" collapsed="false">
      <c r="A173" s="7"/>
      <c r="B173" s="7"/>
      <c r="C173" s="7"/>
      <c r="D173" s="7"/>
      <c r="E173" s="7"/>
      <c r="F173" s="7"/>
      <c r="G173" s="7"/>
      <c r="H173" s="7"/>
      <c r="I173" s="7"/>
      <c r="J173" s="7"/>
      <c r="K173" s="7"/>
      <c r="L173" s="7"/>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row>
    <row r="174" customFormat="false" ht="15" hidden="false" customHeight="true" outlineLevel="0" collapsed="false">
      <c r="A174" s="7"/>
      <c r="B174" s="7"/>
      <c r="C174" s="7"/>
      <c r="D174" s="7"/>
      <c r="E174" s="7"/>
      <c r="F174" s="7"/>
      <c r="G174" s="7"/>
      <c r="H174" s="7"/>
      <c r="I174" s="7"/>
      <c r="J174" s="7"/>
      <c r="K174" s="7"/>
      <c r="L174" s="7"/>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row>
    <row r="175" customFormat="false" ht="15" hidden="false" customHeight="true" outlineLevel="0" collapsed="false">
      <c r="A175" s="7"/>
      <c r="B175" s="7"/>
      <c r="C175" s="7"/>
      <c r="D175" s="7"/>
      <c r="E175" s="7"/>
      <c r="F175" s="7"/>
      <c r="G175" s="7"/>
      <c r="H175" s="7"/>
      <c r="I175" s="7"/>
      <c r="J175" s="7"/>
      <c r="K175" s="7"/>
      <c r="L175" s="7"/>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row>
    <row r="176" customFormat="false" ht="15" hidden="false" customHeight="true" outlineLevel="0" collapsed="false">
      <c r="A176" s="7"/>
      <c r="B176" s="7"/>
      <c r="C176" s="7"/>
      <c r="D176" s="7"/>
      <c r="E176" s="7"/>
      <c r="F176" s="7"/>
      <c r="G176" s="7"/>
      <c r="H176" s="7"/>
      <c r="I176" s="7"/>
      <c r="J176" s="7"/>
      <c r="K176" s="7"/>
      <c r="L176" s="7"/>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row>
    <row r="177" customFormat="false" ht="15" hidden="false" customHeight="true" outlineLevel="0" collapsed="false">
      <c r="A177" s="7"/>
      <c r="B177" s="7"/>
      <c r="C177" s="7"/>
      <c r="D177" s="7"/>
      <c r="E177" s="7"/>
      <c r="F177" s="7"/>
      <c r="G177" s="7"/>
      <c r="H177" s="7"/>
      <c r="I177" s="7"/>
      <c r="J177" s="7"/>
      <c r="K177" s="7"/>
      <c r="L177" s="7"/>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row>
    <row r="178" customFormat="false" ht="15" hidden="false" customHeight="true" outlineLevel="0" collapsed="false">
      <c r="A178" s="7"/>
      <c r="B178" s="7"/>
      <c r="C178" s="7"/>
      <c r="D178" s="7"/>
      <c r="E178" s="7"/>
      <c r="F178" s="7"/>
      <c r="G178" s="7"/>
      <c r="H178" s="7"/>
      <c r="I178" s="7"/>
      <c r="J178" s="7"/>
      <c r="K178" s="7"/>
      <c r="L178" s="7"/>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row>
    <row r="179" customFormat="false" ht="15" hidden="false" customHeight="true" outlineLevel="0" collapsed="false">
      <c r="A179" s="7"/>
      <c r="B179" s="7"/>
      <c r="C179" s="7"/>
      <c r="D179" s="7"/>
      <c r="E179" s="7"/>
      <c r="F179" s="7"/>
      <c r="G179" s="7"/>
      <c r="H179" s="7"/>
      <c r="I179" s="7"/>
      <c r="J179" s="7"/>
      <c r="K179" s="7"/>
      <c r="L179" s="7"/>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row>
    <row r="180" customFormat="false" ht="15" hidden="false" customHeight="true" outlineLevel="0" collapsed="false">
      <c r="A180" s="7"/>
      <c r="B180" s="7"/>
      <c r="C180" s="7"/>
      <c r="D180" s="7"/>
      <c r="E180" s="7"/>
      <c r="F180" s="7"/>
      <c r="G180" s="7"/>
      <c r="H180" s="7"/>
      <c r="I180" s="7"/>
      <c r="J180" s="7"/>
      <c r="K180" s="7"/>
      <c r="L180" s="7"/>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row>
    <row r="181" customFormat="false" ht="15" hidden="false" customHeight="true" outlineLevel="0" collapsed="false">
      <c r="A181" s="7"/>
      <c r="B181" s="7"/>
      <c r="C181" s="7"/>
      <c r="D181" s="7"/>
      <c r="E181" s="7"/>
      <c r="F181" s="7"/>
      <c r="G181" s="7"/>
      <c r="H181" s="7"/>
      <c r="I181" s="7"/>
      <c r="J181" s="7"/>
      <c r="K181" s="7"/>
      <c r="L181" s="7"/>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row>
    <row r="182" customFormat="false" ht="15" hidden="false" customHeight="true" outlineLevel="0" collapsed="false">
      <c r="A182" s="7"/>
      <c r="B182" s="7"/>
      <c r="C182" s="7"/>
      <c r="D182" s="7"/>
      <c r="E182" s="7"/>
      <c r="F182" s="7"/>
      <c r="G182" s="7"/>
      <c r="H182" s="7"/>
      <c r="I182" s="7"/>
      <c r="J182" s="7"/>
      <c r="K182" s="7"/>
      <c r="L182" s="7"/>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row>
    <row r="183" customFormat="false" ht="15" hidden="false" customHeight="true" outlineLevel="0" collapsed="false">
      <c r="A183" s="7"/>
      <c r="B183" s="7"/>
      <c r="C183" s="7"/>
      <c r="D183" s="7"/>
      <c r="E183" s="7"/>
      <c r="F183" s="7"/>
      <c r="G183" s="7"/>
      <c r="H183" s="7"/>
      <c r="I183" s="7"/>
      <c r="J183" s="7"/>
      <c r="K183" s="7"/>
      <c r="L183" s="7"/>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row>
    <row r="184" customFormat="false" ht="15" hidden="false" customHeight="true" outlineLevel="0" collapsed="false">
      <c r="A184" s="7"/>
      <c r="B184" s="7"/>
      <c r="C184" s="7"/>
      <c r="D184" s="7"/>
      <c r="E184" s="7"/>
      <c r="F184" s="7"/>
      <c r="G184" s="7"/>
      <c r="H184" s="7"/>
      <c r="I184" s="7"/>
      <c r="J184" s="7"/>
      <c r="K184" s="7"/>
      <c r="L184" s="7"/>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row>
    <row r="185" customFormat="false" ht="15" hidden="false" customHeight="true" outlineLevel="0" collapsed="false">
      <c r="A185" s="7"/>
      <c r="B185" s="7"/>
      <c r="C185" s="7"/>
      <c r="D185" s="7"/>
      <c r="E185" s="7"/>
      <c r="F185" s="7"/>
      <c r="G185" s="7"/>
      <c r="H185" s="7"/>
      <c r="I185" s="7"/>
      <c r="J185" s="7"/>
      <c r="K185" s="7"/>
      <c r="L185" s="7"/>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row>
    <row r="186" customFormat="false" ht="15" hidden="false" customHeight="true" outlineLevel="0" collapsed="false">
      <c r="A186" s="7"/>
      <c r="B186" s="7"/>
      <c r="C186" s="7"/>
      <c r="D186" s="7"/>
      <c r="E186" s="7"/>
      <c r="F186" s="7"/>
      <c r="G186" s="7"/>
      <c r="H186" s="7"/>
      <c r="I186" s="7"/>
      <c r="J186" s="7"/>
      <c r="K186" s="7"/>
      <c r="L186" s="7"/>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row>
    <row r="187" customFormat="false" ht="15" hidden="false" customHeight="true" outlineLevel="0" collapsed="false">
      <c r="A187" s="7"/>
      <c r="B187" s="7"/>
      <c r="C187" s="7"/>
      <c r="D187" s="7"/>
      <c r="E187" s="7"/>
      <c r="F187" s="7"/>
      <c r="G187" s="7"/>
      <c r="H187" s="7"/>
      <c r="I187" s="7"/>
      <c r="J187" s="7"/>
      <c r="K187" s="7"/>
      <c r="L187" s="7"/>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row>
    <row r="188" customFormat="false" ht="15" hidden="false" customHeight="true" outlineLevel="0" collapsed="false">
      <c r="A188" s="7"/>
      <c r="B188" s="7"/>
      <c r="C188" s="7"/>
      <c r="D188" s="7"/>
      <c r="E188" s="7"/>
      <c r="F188" s="7"/>
      <c r="G188" s="7"/>
      <c r="H188" s="7"/>
      <c r="I188" s="7"/>
      <c r="J188" s="7"/>
      <c r="K188" s="7"/>
      <c r="L188" s="7"/>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row>
    <row r="189" customFormat="false" ht="15" hidden="false" customHeight="true" outlineLevel="0" collapsed="false">
      <c r="A189" s="7"/>
      <c r="B189" s="7"/>
      <c r="C189" s="7"/>
      <c r="D189" s="7"/>
      <c r="E189" s="7"/>
      <c r="F189" s="7"/>
      <c r="G189" s="7"/>
      <c r="H189" s="7"/>
      <c r="I189" s="7"/>
      <c r="J189" s="7"/>
      <c r="K189" s="7"/>
      <c r="L189" s="7"/>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row>
    <row r="190" customFormat="false" ht="15" hidden="false" customHeight="true" outlineLevel="0" collapsed="false">
      <c r="A190" s="7"/>
      <c r="B190" s="7"/>
      <c r="C190" s="7"/>
      <c r="D190" s="7"/>
      <c r="E190" s="7"/>
      <c r="F190" s="7"/>
      <c r="G190" s="7"/>
      <c r="H190" s="7"/>
      <c r="I190" s="7"/>
      <c r="J190" s="7"/>
      <c r="K190" s="7"/>
      <c r="L190" s="7"/>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row>
    <row r="191" customFormat="false" ht="15" hidden="false" customHeight="true" outlineLevel="0" collapsed="false">
      <c r="A191" s="7"/>
      <c r="B191" s="7"/>
      <c r="C191" s="7"/>
      <c r="D191" s="7"/>
      <c r="E191" s="7"/>
      <c r="F191" s="7"/>
      <c r="G191" s="7"/>
      <c r="H191" s="7"/>
      <c r="I191" s="7"/>
      <c r="J191" s="7"/>
      <c r="K191" s="7"/>
      <c r="L191" s="7"/>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row>
    <row r="192" customFormat="false" ht="15" hidden="false" customHeight="true" outlineLevel="0" collapsed="false">
      <c r="A192" s="7"/>
      <c r="B192" s="7"/>
      <c r="C192" s="7"/>
      <c r="D192" s="7"/>
      <c r="E192" s="7"/>
      <c r="F192" s="7"/>
      <c r="G192" s="7"/>
      <c r="H192" s="7"/>
      <c r="I192" s="7"/>
      <c r="J192" s="7"/>
      <c r="K192" s="7"/>
      <c r="L192" s="7"/>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row>
    <row r="193" customFormat="false" ht="15" hidden="false" customHeight="true" outlineLevel="0" collapsed="false">
      <c r="A193" s="7"/>
      <c r="B193" s="7"/>
      <c r="C193" s="7"/>
      <c r="D193" s="7"/>
      <c r="E193" s="7"/>
      <c r="F193" s="7"/>
      <c r="G193" s="7"/>
      <c r="H193" s="7"/>
      <c r="I193" s="7"/>
      <c r="J193" s="7"/>
      <c r="K193" s="7"/>
      <c r="L193" s="7"/>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row>
    <row r="194" customFormat="false" ht="15" hidden="false" customHeight="true" outlineLevel="0" collapsed="false">
      <c r="A194" s="7"/>
      <c r="B194" s="7"/>
      <c r="C194" s="7"/>
      <c r="D194" s="7"/>
      <c r="E194" s="7"/>
      <c r="F194" s="7"/>
      <c r="G194" s="7"/>
      <c r="H194" s="7"/>
      <c r="I194" s="7"/>
      <c r="J194" s="7"/>
      <c r="K194" s="7"/>
      <c r="L194" s="7"/>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row>
    <row r="195" customFormat="false" ht="15" hidden="false" customHeight="true" outlineLevel="0" collapsed="false">
      <c r="A195" s="7"/>
      <c r="B195" s="7"/>
      <c r="C195" s="7"/>
      <c r="D195" s="7"/>
      <c r="E195" s="7"/>
      <c r="F195" s="7"/>
      <c r="G195" s="7"/>
      <c r="H195" s="7"/>
      <c r="I195" s="7"/>
      <c r="J195" s="7"/>
      <c r="K195" s="7"/>
      <c r="L195" s="7"/>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row>
    <row r="196" customFormat="false" ht="15" hidden="false" customHeight="true" outlineLevel="0" collapsed="false">
      <c r="A196" s="7"/>
      <c r="B196" s="7"/>
      <c r="C196" s="7"/>
      <c r="D196" s="7"/>
      <c r="E196" s="7"/>
      <c r="F196" s="7"/>
      <c r="G196" s="7"/>
      <c r="H196" s="7"/>
      <c r="I196" s="7"/>
      <c r="J196" s="7"/>
      <c r="K196" s="7"/>
      <c r="L196" s="7"/>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row>
    <row r="197" customFormat="false" ht="15" hidden="false" customHeight="true" outlineLevel="0" collapsed="false">
      <c r="A197" s="7"/>
      <c r="B197" s="7"/>
      <c r="C197" s="7"/>
      <c r="D197" s="7"/>
      <c r="E197" s="7"/>
      <c r="F197" s="7"/>
      <c r="G197" s="7"/>
      <c r="H197" s="7"/>
      <c r="I197" s="7"/>
      <c r="J197" s="7"/>
      <c r="K197" s="7"/>
      <c r="L197" s="7"/>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row>
    <row r="198" customFormat="false" ht="15" hidden="false" customHeight="true" outlineLevel="0" collapsed="false">
      <c r="A198" s="7"/>
      <c r="B198" s="7"/>
      <c r="C198" s="7"/>
      <c r="D198" s="7"/>
      <c r="E198" s="7"/>
      <c r="F198" s="7"/>
      <c r="G198" s="7"/>
      <c r="H198" s="7"/>
      <c r="I198" s="7"/>
      <c r="J198" s="7"/>
      <c r="K198" s="7"/>
      <c r="L198" s="7"/>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row>
    <row r="199" customFormat="false" ht="15" hidden="false" customHeight="true" outlineLevel="0" collapsed="false">
      <c r="A199" s="7"/>
      <c r="B199" s="7"/>
      <c r="C199" s="7"/>
      <c r="D199" s="7"/>
      <c r="E199" s="7"/>
      <c r="F199" s="7"/>
      <c r="G199" s="7"/>
      <c r="H199" s="7"/>
      <c r="I199" s="7"/>
      <c r="J199" s="7"/>
      <c r="K199" s="7"/>
      <c r="L199" s="7"/>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row>
    <row r="200" customFormat="false" ht="15" hidden="false" customHeight="true" outlineLevel="0" collapsed="false">
      <c r="A200" s="7"/>
      <c r="B200" s="7"/>
      <c r="C200" s="7"/>
      <c r="D200" s="7"/>
      <c r="E200" s="7"/>
      <c r="F200" s="7"/>
      <c r="G200" s="7"/>
      <c r="H200" s="7"/>
      <c r="I200" s="7"/>
      <c r="J200" s="7"/>
      <c r="K200" s="7"/>
      <c r="L200" s="7"/>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5"/>
    <col collapsed="false" customWidth="true" hidden="false" outlineLevel="0" max="3" min="3" style="1" width="94.63"/>
    <col collapsed="false" customWidth="true" hidden="false" outlineLevel="0" max="4" min="4" style="1" width="103.11"/>
  </cols>
  <sheetData>
    <row r="1" customFormat="false" ht="30" hidden="false" customHeight="true" outlineLevel="0" collapsed="false">
      <c r="A1" s="10" t="s">
        <v>385</v>
      </c>
      <c r="B1" s="10" t="s">
        <v>386</v>
      </c>
      <c r="C1" s="10" t="s">
        <v>387</v>
      </c>
      <c r="D1" s="10" t="s">
        <v>388</v>
      </c>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row>
    <row r="2" customFormat="false" ht="15" hidden="false" customHeight="true" outlineLevel="0" collapsed="false">
      <c r="A2" s="7" t="s">
        <v>389</v>
      </c>
      <c r="B2" s="7" t="s">
        <v>390</v>
      </c>
      <c r="C2" s="7" t="s">
        <v>391</v>
      </c>
      <c r="D2" s="7" t="s">
        <v>392</v>
      </c>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row>
    <row r="3" customFormat="false" ht="15" hidden="false" customHeight="true" outlineLevel="0" collapsed="false">
      <c r="A3" s="7" t="s">
        <v>21</v>
      </c>
      <c r="B3" s="7" t="s">
        <v>393</v>
      </c>
      <c r="C3" s="7" t="s">
        <v>394</v>
      </c>
      <c r="D3" s="7" t="s">
        <v>395</v>
      </c>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row>
    <row r="4" customFormat="false" ht="15" hidden="false" customHeight="true" outlineLevel="0" collapsed="false">
      <c r="A4" s="7" t="s">
        <v>23</v>
      </c>
      <c r="B4" s="7" t="s">
        <v>396</v>
      </c>
      <c r="C4" s="7" t="s">
        <v>397</v>
      </c>
      <c r="D4" s="7" t="s">
        <v>398</v>
      </c>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row>
    <row r="5" customFormat="false" ht="27.75" hidden="false" customHeight="true" outlineLevel="0" collapsed="false">
      <c r="A5" s="7" t="s">
        <v>25</v>
      </c>
      <c r="B5" s="7" t="s">
        <v>399</v>
      </c>
      <c r="C5" s="7" t="s">
        <v>400</v>
      </c>
      <c r="D5" s="7" t="s">
        <v>401</v>
      </c>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row>
    <row r="6" customFormat="false" ht="27.75" hidden="false" customHeight="true" outlineLevel="0" collapsed="false">
      <c r="A6" s="7" t="s">
        <v>402</v>
      </c>
      <c r="B6" s="7" t="s">
        <v>403</v>
      </c>
      <c r="C6" s="7" t="s">
        <v>404</v>
      </c>
      <c r="D6" s="7" t="s">
        <v>405</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row>
    <row r="7" customFormat="false" ht="15" hidden="false" customHeight="true" outlineLevel="0" collapsed="false">
      <c r="A7" s="7" t="s">
        <v>27</v>
      </c>
      <c r="B7" s="7" t="s">
        <v>406</v>
      </c>
      <c r="C7" s="7" t="s">
        <v>407</v>
      </c>
      <c r="D7" s="7" t="s">
        <v>408</v>
      </c>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row>
    <row r="8" customFormat="false" ht="15" hidden="false" customHeight="true" outlineLevel="0" collapsed="false">
      <c r="A8" s="7" t="s">
        <v>29</v>
      </c>
      <c r="B8" s="7" t="s">
        <v>409</v>
      </c>
      <c r="C8" s="7" t="s">
        <v>410</v>
      </c>
      <c r="D8" s="7" t="s">
        <v>411</v>
      </c>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row>
    <row r="9" customFormat="false" ht="27.75" hidden="false" customHeight="true" outlineLevel="0" collapsed="false">
      <c r="A9" s="7" t="s">
        <v>31</v>
      </c>
      <c r="B9" s="7" t="s">
        <v>412</v>
      </c>
      <c r="C9" s="7" t="s">
        <v>413</v>
      </c>
      <c r="D9" s="7" t="s">
        <v>414</v>
      </c>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row>
    <row r="10" customFormat="false" ht="15" hidden="false" customHeight="true" outlineLevel="0" collapsed="false">
      <c r="A10" s="7"/>
      <c r="B10" s="7"/>
      <c r="C10" s="7"/>
      <c r="D10" s="7"/>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row>
    <row r="11" customFormat="false" ht="15" hidden="false" customHeight="true" outlineLevel="0" collapsed="false">
      <c r="A11" s="7"/>
      <c r="B11" s="7"/>
      <c r="C11" s="7"/>
      <c r="D11" s="7"/>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row>
    <row r="12" customFormat="false" ht="15" hidden="false" customHeight="true" outlineLevel="0" collapsed="false">
      <c r="A12" s="7"/>
      <c r="B12" s="7"/>
      <c r="C12" s="7"/>
      <c r="D12" s="7"/>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row>
    <row r="13" customFormat="false" ht="15" hidden="false" customHeight="true" outlineLevel="0" collapsed="false">
      <c r="A13" s="7"/>
      <c r="B13" s="7"/>
      <c r="C13" s="7"/>
      <c r="D13" s="7"/>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row>
    <row r="14" customFormat="false" ht="15" hidden="false" customHeight="true" outlineLevel="0" collapsed="false">
      <c r="A14" s="7"/>
      <c r="B14" s="7"/>
      <c r="C14" s="7"/>
      <c r="D14" s="7"/>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row>
    <row r="15" customFormat="false" ht="15" hidden="false" customHeight="true" outlineLevel="0" collapsed="false">
      <c r="A15" s="7"/>
      <c r="B15" s="7"/>
      <c r="C15" s="7"/>
      <c r="D15" s="7"/>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row>
    <row r="16" customFormat="false" ht="15" hidden="false" customHeight="true" outlineLevel="0" collapsed="false">
      <c r="A16" s="7"/>
      <c r="B16" s="7"/>
      <c r="C16" s="7"/>
      <c r="D16" s="7"/>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row>
    <row r="17" customFormat="false" ht="15" hidden="false" customHeight="true" outlineLevel="0" collapsed="false">
      <c r="A17" s="7"/>
      <c r="B17" s="7"/>
      <c r="C17" s="7"/>
      <c r="D17" s="7"/>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row>
    <row r="18" customFormat="false" ht="15" hidden="false" customHeight="true" outlineLevel="0" collapsed="false">
      <c r="A18" s="7"/>
      <c r="B18" s="7"/>
      <c r="C18" s="7"/>
      <c r="D18" s="7"/>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row>
    <row r="19" customFormat="false" ht="15" hidden="false" customHeight="true" outlineLevel="0" collapsed="false">
      <c r="A19" s="7"/>
      <c r="B19" s="7"/>
      <c r="C19" s="7"/>
      <c r="D19" s="7"/>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row>
    <row r="20" customFormat="false" ht="15" hidden="false" customHeight="true" outlineLevel="0" collapsed="false">
      <c r="A20" s="7"/>
      <c r="B20" s="7"/>
      <c r="C20" s="7"/>
      <c r="D20" s="7"/>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row>
    <row r="21" customFormat="false" ht="15" hidden="false" customHeight="true" outlineLevel="0" collapsed="false">
      <c r="A21" s="7"/>
      <c r="B21" s="7"/>
      <c r="C21" s="7"/>
      <c r="D21" s="7"/>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row>
    <row r="22" customFormat="false" ht="15" hidden="false" customHeight="true" outlineLevel="0" collapsed="false">
      <c r="A22" s="7"/>
      <c r="B22" s="7"/>
      <c r="C22" s="7"/>
      <c r="D22" s="7"/>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row>
    <row r="23" customFormat="false" ht="15" hidden="false" customHeight="true" outlineLevel="0" collapsed="false">
      <c r="A23" s="7"/>
      <c r="B23" s="7"/>
      <c r="C23" s="7"/>
      <c r="D23" s="7"/>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row>
    <row r="24" customFormat="false" ht="15" hidden="false" customHeight="true" outlineLevel="0" collapsed="false">
      <c r="A24" s="7"/>
      <c r="B24" s="7"/>
      <c r="C24" s="7"/>
      <c r="D24" s="7"/>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row>
    <row r="25" customFormat="false" ht="15" hidden="false" customHeight="true" outlineLevel="0" collapsed="false">
      <c r="A25" s="7"/>
      <c r="B25" s="7"/>
      <c r="C25" s="7"/>
      <c r="D25" s="7"/>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row>
    <row r="26" customFormat="false" ht="15" hidden="false" customHeight="true" outlineLevel="0" collapsed="false">
      <c r="A26" s="7"/>
      <c r="B26" s="7"/>
      <c r="C26" s="7"/>
      <c r="D26" s="7"/>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row>
    <row r="27" customFormat="false" ht="15" hidden="false" customHeight="true" outlineLevel="0" collapsed="false">
      <c r="A27" s="7"/>
      <c r="B27" s="7"/>
      <c r="C27" s="7"/>
      <c r="D27" s="7"/>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row>
    <row r="28" customFormat="false" ht="15" hidden="false" customHeight="true" outlineLevel="0" collapsed="false">
      <c r="A28" s="7"/>
      <c r="B28" s="7"/>
      <c r="C28" s="7"/>
      <c r="D28" s="7"/>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row>
    <row r="29" customFormat="false" ht="15" hidden="false" customHeight="true" outlineLevel="0" collapsed="false">
      <c r="A29" s="7"/>
      <c r="B29" s="7"/>
      <c r="C29" s="7"/>
      <c r="D29" s="7"/>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row>
    <row r="30" customFormat="false" ht="15" hidden="false" customHeight="true" outlineLevel="0" collapsed="false">
      <c r="A30" s="7"/>
      <c r="B30" s="7"/>
      <c r="C30" s="7"/>
      <c r="D30" s="7"/>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row>
    <row r="31" customFormat="false" ht="15" hidden="false" customHeight="true" outlineLevel="0" collapsed="false">
      <c r="A31" s="7"/>
      <c r="B31" s="7"/>
      <c r="C31" s="7"/>
      <c r="D31" s="7"/>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row>
    <row r="32" customFormat="false" ht="15" hidden="false" customHeight="true" outlineLevel="0" collapsed="false">
      <c r="A32" s="7"/>
      <c r="B32" s="7"/>
      <c r="C32" s="7"/>
      <c r="D32" s="7"/>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row>
    <row r="33" customFormat="false" ht="15" hidden="false" customHeight="true" outlineLevel="0" collapsed="false">
      <c r="A33" s="7"/>
      <c r="B33" s="7"/>
      <c r="C33" s="7"/>
      <c r="D33" s="7"/>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row>
    <row r="34" customFormat="false" ht="15" hidden="false" customHeight="true" outlineLevel="0" collapsed="false">
      <c r="A34" s="7"/>
      <c r="B34" s="7"/>
      <c r="C34" s="7"/>
      <c r="D34" s="7"/>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row>
    <row r="35" customFormat="false" ht="15" hidden="false" customHeight="true" outlineLevel="0" collapsed="false">
      <c r="A35" s="7"/>
      <c r="B35" s="7"/>
      <c r="C35" s="7"/>
      <c r="D35" s="7"/>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row>
    <row r="36" customFormat="false" ht="15" hidden="false" customHeight="true" outlineLevel="0" collapsed="false">
      <c r="A36" s="7"/>
      <c r="B36" s="7"/>
      <c r="C36" s="7"/>
      <c r="D36" s="7"/>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row>
    <row r="37" customFormat="false" ht="15" hidden="false" customHeight="true" outlineLevel="0" collapsed="false">
      <c r="A37" s="7"/>
      <c r="B37" s="7"/>
      <c r="C37" s="7"/>
      <c r="D37" s="7"/>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row>
    <row r="38" customFormat="false" ht="15" hidden="false" customHeight="true" outlineLevel="0" collapsed="false">
      <c r="A38" s="7"/>
      <c r="B38" s="7"/>
      <c r="C38" s="7"/>
      <c r="D38" s="7"/>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row>
    <row r="39" customFormat="false" ht="15" hidden="false" customHeight="true" outlineLevel="0" collapsed="false">
      <c r="A39" s="7"/>
      <c r="B39" s="7"/>
      <c r="C39" s="7"/>
      <c r="D39" s="7"/>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row>
    <row r="40" customFormat="false" ht="15" hidden="false" customHeight="true" outlineLevel="0" collapsed="false">
      <c r="A40" s="7"/>
      <c r="B40" s="7"/>
      <c r="C40" s="7"/>
      <c r="D40" s="7"/>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row>
    <row r="41" customFormat="false" ht="15" hidden="false" customHeight="true" outlineLevel="0" collapsed="false">
      <c r="A41" s="7"/>
      <c r="B41" s="7"/>
      <c r="C41" s="7"/>
      <c r="D41" s="7"/>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row>
    <row r="42" customFormat="false" ht="15" hidden="false" customHeight="true" outlineLevel="0" collapsed="false">
      <c r="A42" s="7"/>
      <c r="B42" s="7"/>
      <c r="C42" s="7"/>
      <c r="D42" s="7"/>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row>
    <row r="43" customFormat="false" ht="15" hidden="false" customHeight="true" outlineLevel="0" collapsed="false">
      <c r="A43" s="7"/>
      <c r="B43" s="7"/>
      <c r="C43" s="7"/>
      <c r="D43" s="7"/>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row>
    <row r="44" customFormat="false" ht="15" hidden="false" customHeight="true" outlineLevel="0" collapsed="false">
      <c r="A44" s="7"/>
      <c r="B44" s="7"/>
      <c r="C44" s="7"/>
      <c r="D44" s="7"/>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row>
    <row r="45" customFormat="false" ht="15" hidden="false" customHeight="true" outlineLevel="0" collapsed="false">
      <c r="A45" s="7"/>
      <c r="B45" s="7"/>
      <c r="C45" s="7"/>
      <c r="D45" s="7"/>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row>
    <row r="46" customFormat="false" ht="15" hidden="false" customHeight="true" outlineLevel="0" collapsed="false">
      <c r="A46" s="7"/>
      <c r="B46" s="7"/>
      <c r="C46" s="7"/>
      <c r="D46" s="7"/>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row>
    <row r="47" customFormat="false" ht="15" hidden="false" customHeight="true" outlineLevel="0" collapsed="false">
      <c r="A47" s="7"/>
      <c r="B47" s="7"/>
      <c r="C47" s="7"/>
      <c r="D47" s="7"/>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row>
    <row r="48" customFormat="false" ht="15" hidden="false" customHeight="true" outlineLevel="0" collapsed="false">
      <c r="A48" s="7"/>
      <c r="B48" s="7"/>
      <c r="C48" s="7"/>
      <c r="D48" s="7"/>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row>
    <row r="49" customFormat="false" ht="15" hidden="false" customHeight="true" outlineLevel="0" collapsed="false">
      <c r="A49" s="7"/>
      <c r="B49" s="7"/>
      <c r="C49" s="7"/>
      <c r="D49" s="7"/>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row>
    <row r="50" customFormat="false" ht="15" hidden="false" customHeight="true" outlineLevel="0" collapsed="false">
      <c r="A50" s="7"/>
      <c r="B50" s="7"/>
      <c r="C50" s="7"/>
      <c r="D50" s="7"/>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row>
    <row r="51" customFormat="false" ht="15" hidden="false" customHeight="true" outlineLevel="0" collapsed="false">
      <c r="A51" s="7"/>
      <c r="B51" s="7"/>
      <c r="C51" s="7"/>
      <c r="D51" s="7"/>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row>
    <row r="52" customFormat="false" ht="15" hidden="false" customHeight="true" outlineLevel="0" collapsed="false">
      <c r="A52" s="7"/>
      <c r="B52" s="7"/>
      <c r="C52" s="7"/>
      <c r="D52" s="7"/>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row>
    <row r="53" customFormat="false" ht="15" hidden="false" customHeight="true" outlineLevel="0" collapsed="false">
      <c r="A53" s="7"/>
      <c r="B53" s="7"/>
      <c r="C53" s="7"/>
      <c r="D53" s="7"/>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row>
    <row r="54" customFormat="false" ht="15" hidden="false" customHeight="true" outlineLevel="0" collapsed="false">
      <c r="A54" s="7"/>
      <c r="B54" s="7"/>
      <c r="C54" s="7"/>
      <c r="D54" s="7"/>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row>
    <row r="55" customFormat="false" ht="15" hidden="false" customHeight="true" outlineLevel="0" collapsed="false">
      <c r="A55" s="7"/>
      <c r="B55" s="7"/>
      <c r="C55" s="7"/>
      <c r="D55" s="7"/>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row>
    <row r="56" customFormat="false" ht="15" hidden="false" customHeight="true" outlineLevel="0" collapsed="false">
      <c r="A56" s="7"/>
      <c r="B56" s="7"/>
      <c r="C56" s="7"/>
      <c r="D56" s="7"/>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row>
    <row r="57" customFormat="false" ht="15" hidden="false" customHeight="true" outlineLevel="0" collapsed="false">
      <c r="A57" s="7"/>
      <c r="B57" s="7"/>
      <c r="C57" s="7"/>
      <c r="D57" s="7"/>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row>
    <row r="58" customFormat="false" ht="15" hidden="false" customHeight="true" outlineLevel="0" collapsed="false">
      <c r="A58" s="7"/>
      <c r="B58" s="7"/>
      <c r="C58" s="7"/>
      <c r="D58" s="7"/>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row>
    <row r="59" customFormat="false" ht="15" hidden="false" customHeight="true" outlineLevel="0" collapsed="false">
      <c r="A59" s="7"/>
      <c r="B59" s="7"/>
      <c r="C59" s="7"/>
      <c r="D59" s="7"/>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row>
    <row r="60" customFormat="false" ht="15" hidden="false" customHeight="true" outlineLevel="0" collapsed="false">
      <c r="A60" s="7"/>
      <c r="B60" s="7"/>
      <c r="C60" s="7"/>
      <c r="D60" s="7"/>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row>
    <row r="61" customFormat="false" ht="15" hidden="false" customHeight="true" outlineLevel="0" collapsed="false">
      <c r="A61" s="7"/>
      <c r="B61" s="7"/>
      <c r="C61" s="7"/>
      <c r="D61" s="7"/>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row>
    <row r="62" customFormat="false" ht="15" hidden="false" customHeight="true" outlineLevel="0" collapsed="false">
      <c r="A62" s="7"/>
      <c r="B62" s="7"/>
      <c r="C62" s="7"/>
      <c r="D62" s="7"/>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row>
    <row r="63" customFormat="false" ht="15" hidden="false" customHeight="true" outlineLevel="0" collapsed="false">
      <c r="A63" s="7"/>
      <c r="B63" s="7"/>
      <c r="C63" s="7"/>
      <c r="D63" s="7"/>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row>
    <row r="64" customFormat="false" ht="15" hidden="false" customHeight="true" outlineLevel="0" collapsed="false">
      <c r="A64" s="7"/>
      <c r="B64" s="7"/>
      <c r="C64" s="7"/>
      <c r="D64" s="7"/>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row>
    <row r="65" customFormat="false" ht="15" hidden="false" customHeight="true" outlineLevel="0" collapsed="false">
      <c r="A65" s="7"/>
      <c r="B65" s="7"/>
      <c r="C65" s="7"/>
      <c r="D65" s="7"/>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row>
    <row r="66" customFormat="false" ht="15" hidden="false" customHeight="true" outlineLevel="0" collapsed="false">
      <c r="A66" s="7"/>
      <c r="B66" s="7"/>
      <c r="C66" s="7"/>
      <c r="D66" s="7"/>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row>
    <row r="67" customFormat="false" ht="15" hidden="false" customHeight="true" outlineLevel="0" collapsed="false">
      <c r="A67" s="7"/>
      <c r="B67" s="7"/>
      <c r="C67" s="7"/>
      <c r="D67" s="7"/>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row>
    <row r="68" customFormat="false" ht="15" hidden="false" customHeight="true" outlineLevel="0" collapsed="false">
      <c r="A68" s="7"/>
      <c r="B68" s="7"/>
      <c r="C68" s="7"/>
      <c r="D68" s="7"/>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row>
    <row r="69" customFormat="false" ht="15" hidden="false" customHeight="true" outlineLevel="0" collapsed="false">
      <c r="A69" s="7"/>
      <c r="B69" s="7"/>
      <c r="C69" s="7"/>
      <c r="D69" s="7"/>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row>
    <row r="70" customFormat="false" ht="15" hidden="false" customHeight="true" outlineLevel="0" collapsed="false">
      <c r="A70" s="7"/>
      <c r="B70" s="7"/>
      <c r="C70" s="7"/>
      <c r="D70" s="7"/>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row>
    <row r="71" customFormat="false" ht="15" hidden="false" customHeight="true" outlineLevel="0" collapsed="false">
      <c r="A71" s="7"/>
      <c r="B71" s="7"/>
      <c r="C71" s="7"/>
      <c r="D71" s="7"/>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row>
    <row r="72" customFormat="false" ht="15" hidden="false" customHeight="true" outlineLevel="0" collapsed="false">
      <c r="A72" s="7"/>
      <c r="B72" s="7"/>
      <c r="C72" s="7"/>
      <c r="D72" s="7"/>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row>
    <row r="73" customFormat="false" ht="15" hidden="false" customHeight="true" outlineLevel="0" collapsed="false">
      <c r="A73" s="7"/>
      <c r="B73" s="7"/>
      <c r="C73" s="7"/>
      <c r="D73" s="7"/>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row>
    <row r="74" customFormat="false" ht="15" hidden="false" customHeight="true" outlineLevel="0" collapsed="false">
      <c r="A74" s="7"/>
      <c r="B74" s="7"/>
      <c r="C74" s="7"/>
      <c r="D74" s="7"/>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row>
    <row r="75" customFormat="false" ht="15" hidden="false" customHeight="true" outlineLevel="0" collapsed="false">
      <c r="A75" s="7"/>
      <c r="B75" s="7"/>
      <c r="C75" s="7"/>
      <c r="D75" s="7"/>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row>
    <row r="76" customFormat="false" ht="15" hidden="false" customHeight="true" outlineLevel="0" collapsed="false">
      <c r="A76" s="7"/>
      <c r="B76" s="7"/>
      <c r="C76" s="7"/>
      <c r="D76" s="7"/>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row>
    <row r="77" customFormat="false" ht="15" hidden="false" customHeight="true" outlineLevel="0" collapsed="false">
      <c r="A77" s="7"/>
      <c r="B77" s="7"/>
      <c r="C77" s="7"/>
      <c r="D77" s="7"/>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row>
    <row r="78" customFormat="false" ht="15" hidden="false" customHeight="true" outlineLevel="0" collapsed="false">
      <c r="A78" s="7"/>
      <c r="B78" s="7"/>
      <c r="C78" s="7"/>
      <c r="D78" s="7"/>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row>
    <row r="79" customFormat="false" ht="15" hidden="false" customHeight="true" outlineLevel="0" collapsed="false">
      <c r="A79" s="7"/>
      <c r="B79" s="7"/>
      <c r="C79" s="7"/>
      <c r="D79" s="7"/>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row>
    <row r="80" customFormat="false" ht="15" hidden="false" customHeight="true" outlineLevel="0" collapsed="false">
      <c r="A80" s="7"/>
      <c r="B80" s="7"/>
      <c r="C80" s="7"/>
      <c r="D80" s="7"/>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row>
    <row r="81" customFormat="false" ht="15" hidden="false" customHeight="true" outlineLevel="0" collapsed="false">
      <c r="A81" s="7"/>
      <c r="B81" s="7"/>
      <c r="C81" s="7"/>
      <c r="D81" s="7"/>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row>
    <row r="82" customFormat="false" ht="15" hidden="false" customHeight="true" outlineLevel="0" collapsed="false">
      <c r="A82" s="7"/>
      <c r="B82" s="7"/>
      <c r="C82" s="7"/>
      <c r="D82" s="7"/>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row>
    <row r="83" customFormat="false" ht="15" hidden="false" customHeight="true" outlineLevel="0" collapsed="false">
      <c r="A83" s="7"/>
      <c r="B83" s="7"/>
      <c r="C83" s="7"/>
      <c r="D83" s="7"/>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row>
    <row r="84" customFormat="false" ht="15" hidden="false" customHeight="true" outlineLevel="0" collapsed="false">
      <c r="A84" s="7"/>
      <c r="B84" s="7"/>
      <c r="C84" s="7"/>
      <c r="D84" s="7"/>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row>
    <row r="85" customFormat="false" ht="15" hidden="false" customHeight="true" outlineLevel="0" collapsed="false">
      <c r="A85" s="7"/>
      <c r="B85" s="7"/>
      <c r="C85" s="7"/>
      <c r="D85" s="7"/>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row>
    <row r="86" customFormat="false" ht="15" hidden="false" customHeight="true" outlineLevel="0" collapsed="false">
      <c r="A86" s="7"/>
      <c r="B86" s="7"/>
      <c r="C86" s="7"/>
      <c r="D86" s="7"/>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row>
    <row r="87" customFormat="false" ht="15" hidden="false" customHeight="true" outlineLevel="0" collapsed="false">
      <c r="A87" s="7"/>
      <c r="B87" s="7"/>
      <c r="C87" s="7"/>
      <c r="D87" s="7"/>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row>
    <row r="88" customFormat="false" ht="15" hidden="false" customHeight="true" outlineLevel="0" collapsed="false">
      <c r="A88" s="7"/>
      <c r="B88" s="7"/>
      <c r="C88" s="7"/>
      <c r="D88" s="7"/>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row>
    <row r="89" customFormat="false" ht="15" hidden="false" customHeight="true" outlineLevel="0" collapsed="false">
      <c r="A89" s="7"/>
      <c r="B89" s="7"/>
      <c r="C89" s="7"/>
      <c r="D89" s="7"/>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row>
    <row r="90" customFormat="false" ht="15" hidden="false" customHeight="true" outlineLevel="0" collapsed="false">
      <c r="A90" s="7"/>
      <c r="B90" s="7"/>
      <c r="C90" s="7"/>
      <c r="D90" s="7"/>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row>
    <row r="91" customFormat="false" ht="15" hidden="false" customHeight="true" outlineLevel="0" collapsed="false">
      <c r="A91" s="7"/>
      <c r="B91" s="7"/>
      <c r="C91" s="7"/>
      <c r="D91" s="7"/>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row>
    <row r="92" customFormat="false" ht="15" hidden="false" customHeight="true" outlineLevel="0" collapsed="false">
      <c r="A92" s="7"/>
      <c r="B92" s="7"/>
      <c r="C92" s="7"/>
      <c r="D92" s="7"/>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row>
    <row r="93" customFormat="false" ht="15" hidden="false" customHeight="true" outlineLevel="0" collapsed="false">
      <c r="A93" s="7"/>
      <c r="B93" s="7"/>
      <c r="C93" s="7"/>
      <c r="D93" s="7"/>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row>
    <row r="94" customFormat="false" ht="15" hidden="false" customHeight="true" outlineLevel="0" collapsed="false">
      <c r="A94" s="7"/>
      <c r="B94" s="7"/>
      <c r="C94" s="7"/>
      <c r="D94" s="7"/>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row>
    <row r="95" customFormat="false" ht="15" hidden="false" customHeight="true" outlineLevel="0" collapsed="false">
      <c r="A95" s="7"/>
      <c r="B95" s="7"/>
      <c r="C95" s="7"/>
      <c r="D95" s="7"/>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row>
    <row r="96" customFormat="false" ht="15" hidden="false" customHeight="true" outlineLevel="0" collapsed="false">
      <c r="A96" s="7"/>
      <c r="B96" s="7"/>
      <c r="C96" s="7"/>
      <c r="D96" s="7"/>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row>
    <row r="97" customFormat="false" ht="15" hidden="false" customHeight="true" outlineLevel="0" collapsed="false">
      <c r="A97" s="7"/>
      <c r="B97" s="7"/>
      <c r="C97" s="7"/>
      <c r="D97" s="7"/>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row>
    <row r="98" customFormat="false" ht="15" hidden="false" customHeight="true" outlineLevel="0" collapsed="false">
      <c r="A98" s="7"/>
      <c r="B98" s="7"/>
      <c r="C98" s="7"/>
      <c r="D98" s="7"/>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row>
    <row r="99" customFormat="false" ht="15" hidden="false" customHeight="true" outlineLevel="0" collapsed="false">
      <c r="A99" s="7"/>
      <c r="B99" s="7"/>
      <c r="C99" s="7"/>
      <c r="D99" s="7"/>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row>
    <row r="100" customFormat="false" ht="15" hidden="false" customHeight="true" outlineLevel="0" collapsed="false">
      <c r="A100" s="7"/>
      <c r="B100" s="7"/>
      <c r="C100" s="7"/>
      <c r="D100" s="7"/>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row>
    <row r="101" customFormat="false" ht="15" hidden="false" customHeight="true" outlineLevel="0" collapsed="false">
      <c r="A101" s="7"/>
      <c r="B101" s="7"/>
      <c r="C101" s="7"/>
      <c r="D101" s="7"/>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row>
    <row r="102" customFormat="false" ht="15" hidden="false" customHeight="true" outlineLevel="0" collapsed="false">
      <c r="A102" s="7"/>
      <c r="B102" s="7"/>
      <c r="C102" s="7"/>
      <c r="D102" s="7"/>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row>
    <row r="103" customFormat="false" ht="15" hidden="false" customHeight="true" outlineLevel="0" collapsed="false">
      <c r="A103" s="7"/>
      <c r="B103" s="7"/>
      <c r="C103" s="7"/>
      <c r="D103" s="7"/>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row>
    <row r="104" customFormat="false" ht="15" hidden="false" customHeight="true" outlineLevel="0" collapsed="false">
      <c r="A104" s="7"/>
      <c r="B104" s="7"/>
      <c r="C104" s="7"/>
      <c r="D104" s="7"/>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row>
    <row r="105" customFormat="false" ht="15" hidden="false" customHeight="true" outlineLevel="0" collapsed="false">
      <c r="A105" s="7"/>
      <c r="B105" s="7"/>
      <c r="C105" s="7"/>
      <c r="D105" s="7"/>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row>
    <row r="106" customFormat="false" ht="15" hidden="false" customHeight="true" outlineLevel="0" collapsed="false">
      <c r="A106" s="7"/>
      <c r="B106" s="7"/>
      <c r="C106" s="7"/>
      <c r="D106" s="7"/>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row>
    <row r="107" customFormat="false" ht="15" hidden="false" customHeight="true" outlineLevel="0" collapsed="false">
      <c r="A107" s="7"/>
      <c r="B107" s="7"/>
      <c r="C107" s="7"/>
      <c r="D107" s="7"/>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row>
    <row r="108" customFormat="false" ht="15" hidden="false" customHeight="true" outlineLevel="0" collapsed="false">
      <c r="A108" s="7"/>
      <c r="B108" s="7"/>
      <c r="C108" s="7"/>
      <c r="D108" s="7"/>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row>
    <row r="109" customFormat="false" ht="15" hidden="false" customHeight="true" outlineLevel="0" collapsed="false">
      <c r="A109" s="7"/>
      <c r="B109" s="7"/>
      <c r="C109" s="7"/>
      <c r="D109" s="7"/>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row>
    <row r="110" customFormat="false" ht="15" hidden="false" customHeight="true" outlineLevel="0" collapsed="false">
      <c r="A110" s="7"/>
      <c r="B110" s="7"/>
      <c r="C110" s="7"/>
      <c r="D110" s="7"/>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row>
    <row r="111" customFormat="false" ht="15" hidden="false" customHeight="true" outlineLevel="0" collapsed="false">
      <c r="A111" s="7"/>
      <c r="B111" s="7"/>
      <c r="C111" s="7"/>
      <c r="D111" s="7"/>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row>
    <row r="112" customFormat="false" ht="15" hidden="false" customHeight="true" outlineLevel="0" collapsed="false">
      <c r="A112" s="7"/>
      <c r="B112" s="7"/>
      <c r="C112" s="7"/>
      <c r="D112" s="7"/>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row>
    <row r="113" customFormat="false" ht="15" hidden="false" customHeight="true" outlineLevel="0" collapsed="false">
      <c r="A113" s="7"/>
      <c r="B113" s="7"/>
      <c r="C113" s="7"/>
      <c r="D113" s="7"/>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row>
    <row r="114" customFormat="false" ht="15" hidden="false" customHeight="true" outlineLevel="0" collapsed="false">
      <c r="A114" s="7"/>
      <c r="B114" s="7"/>
      <c r="C114" s="7"/>
      <c r="D114" s="7"/>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row>
    <row r="115" customFormat="false" ht="15" hidden="false" customHeight="true" outlineLevel="0" collapsed="false">
      <c r="A115" s="7"/>
      <c r="B115" s="7"/>
      <c r="C115" s="7"/>
      <c r="D115" s="7"/>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row>
    <row r="116" customFormat="false" ht="15" hidden="false" customHeight="true" outlineLevel="0" collapsed="false">
      <c r="A116" s="7"/>
      <c r="B116" s="7"/>
      <c r="C116" s="7"/>
      <c r="D116" s="7"/>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row>
    <row r="117" customFormat="false" ht="15" hidden="false" customHeight="true" outlineLevel="0" collapsed="false">
      <c r="A117" s="7"/>
      <c r="B117" s="7"/>
      <c r="C117" s="7"/>
      <c r="D117" s="7"/>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row>
    <row r="118" customFormat="false" ht="15" hidden="false" customHeight="true" outlineLevel="0" collapsed="false">
      <c r="A118" s="7"/>
      <c r="B118" s="7"/>
      <c r="C118" s="7"/>
      <c r="D118" s="7"/>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row>
    <row r="119" customFormat="false" ht="15" hidden="false" customHeight="true" outlineLevel="0" collapsed="false">
      <c r="A119" s="7"/>
      <c r="B119" s="7"/>
      <c r="C119" s="7"/>
      <c r="D119" s="7"/>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row>
    <row r="120" customFormat="false" ht="15" hidden="false" customHeight="true" outlineLevel="0" collapsed="false">
      <c r="A120" s="7"/>
      <c r="B120" s="7"/>
      <c r="C120" s="7"/>
      <c r="D120" s="7"/>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row>
    <row r="121" customFormat="false" ht="15" hidden="false" customHeight="true" outlineLevel="0" collapsed="false">
      <c r="A121" s="7"/>
      <c r="B121" s="7"/>
      <c r="C121" s="7"/>
      <c r="D121" s="7"/>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row>
    <row r="122" customFormat="false" ht="15" hidden="false" customHeight="true" outlineLevel="0" collapsed="false">
      <c r="A122" s="7"/>
      <c r="B122" s="7"/>
      <c r="C122" s="7"/>
      <c r="D122" s="7"/>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row>
    <row r="123" customFormat="false" ht="15" hidden="false" customHeight="true" outlineLevel="0" collapsed="false">
      <c r="A123" s="7"/>
      <c r="B123" s="7"/>
      <c r="C123" s="7"/>
      <c r="D123" s="7"/>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row>
    <row r="124" customFormat="false" ht="15" hidden="false" customHeight="true" outlineLevel="0" collapsed="false">
      <c r="A124" s="7"/>
      <c r="B124" s="7"/>
      <c r="C124" s="7"/>
      <c r="D124" s="7"/>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row>
    <row r="125" customFormat="false" ht="15" hidden="false" customHeight="true" outlineLevel="0" collapsed="false">
      <c r="A125" s="7"/>
      <c r="B125" s="7"/>
      <c r="C125" s="7"/>
      <c r="D125" s="7"/>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row>
    <row r="126" customFormat="false" ht="15" hidden="false" customHeight="true" outlineLevel="0" collapsed="false">
      <c r="A126" s="7"/>
      <c r="B126" s="7"/>
      <c r="C126" s="7"/>
      <c r="D126" s="7"/>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row>
    <row r="127" customFormat="false" ht="15" hidden="false" customHeight="true" outlineLevel="0" collapsed="false">
      <c r="A127" s="7"/>
      <c r="B127" s="7"/>
      <c r="C127" s="7"/>
      <c r="D127" s="7"/>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row>
    <row r="128" customFormat="false" ht="15" hidden="false" customHeight="true" outlineLevel="0" collapsed="false">
      <c r="A128" s="7"/>
      <c r="B128" s="7"/>
      <c r="C128" s="7"/>
      <c r="D128" s="7"/>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row>
    <row r="129" customFormat="false" ht="15" hidden="false" customHeight="true" outlineLevel="0" collapsed="false">
      <c r="A129" s="7"/>
      <c r="B129" s="7"/>
      <c r="C129" s="7"/>
      <c r="D129" s="7"/>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row>
    <row r="130" customFormat="false" ht="15" hidden="false" customHeight="true" outlineLevel="0" collapsed="false">
      <c r="A130" s="7"/>
      <c r="B130" s="7"/>
      <c r="C130" s="7"/>
      <c r="D130" s="7"/>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row>
    <row r="131" customFormat="false" ht="15" hidden="false" customHeight="true" outlineLevel="0" collapsed="false">
      <c r="A131" s="7"/>
      <c r="B131" s="7"/>
      <c r="C131" s="7"/>
      <c r="D131" s="7"/>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row>
    <row r="132" customFormat="false" ht="15" hidden="false" customHeight="true" outlineLevel="0" collapsed="false">
      <c r="A132" s="7"/>
      <c r="B132" s="7"/>
      <c r="C132" s="7"/>
      <c r="D132" s="7"/>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row>
    <row r="133" customFormat="false" ht="15" hidden="false" customHeight="true" outlineLevel="0" collapsed="false">
      <c r="A133" s="7"/>
      <c r="B133" s="7"/>
      <c r="C133" s="7"/>
      <c r="D133" s="7"/>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row>
    <row r="134" customFormat="false" ht="15" hidden="false" customHeight="true" outlineLevel="0" collapsed="false">
      <c r="A134" s="7"/>
      <c r="B134" s="7"/>
      <c r="C134" s="7"/>
      <c r="D134" s="7"/>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row>
    <row r="135" customFormat="false" ht="15" hidden="false" customHeight="true" outlineLevel="0" collapsed="false">
      <c r="A135" s="7"/>
      <c r="B135" s="7"/>
      <c r="C135" s="7"/>
      <c r="D135" s="7"/>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row>
    <row r="136" customFormat="false" ht="15" hidden="false" customHeight="true" outlineLevel="0" collapsed="false">
      <c r="A136" s="7"/>
      <c r="B136" s="7"/>
      <c r="C136" s="7"/>
      <c r="D136" s="7"/>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row>
    <row r="137" customFormat="false" ht="15" hidden="false" customHeight="true" outlineLevel="0" collapsed="false">
      <c r="A137" s="7"/>
      <c r="B137" s="7"/>
      <c r="C137" s="7"/>
      <c r="D137" s="7"/>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row>
    <row r="138" customFormat="false" ht="15" hidden="false" customHeight="true" outlineLevel="0" collapsed="false">
      <c r="A138" s="7"/>
      <c r="B138" s="7"/>
      <c r="C138" s="7"/>
      <c r="D138" s="7"/>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row>
    <row r="139" customFormat="false" ht="15" hidden="false" customHeight="true" outlineLevel="0" collapsed="false">
      <c r="A139" s="7"/>
      <c r="B139" s="7"/>
      <c r="C139" s="7"/>
      <c r="D139" s="7"/>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row>
    <row r="140" customFormat="false" ht="15" hidden="false" customHeight="true" outlineLevel="0" collapsed="false">
      <c r="A140" s="7"/>
      <c r="B140" s="7"/>
      <c r="C140" s="7"/>
      <c r="D140" s="7"/>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row>
    <row r="141" customFormat="false" ht="15" hidden="false" customHeight="true" outlineLevel="0" collapsed="false">
      <c r="A141" s="7"/>
      <c r="B141" s="7"/>
      <c r="C141" s="7"/>
      <c r="D141" s="7"/>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row>
    <row r="142" customFormat="false" ht="15" hidden="false" customHeight="true" outlineLevel="0" collapsed="false">
      <c r="A142" s="7"/>
      <c r="B142" s="7"/>
      <c r="C142" s="7"/>
      <c r="D142" s="7"/>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row>
    <row r="143" customFormat="false" ht="15" hidden="false" customHeight="true" outlineLevel="0" collapsed="false">
      <c r="A143" s="7"/>
      <c r="B143" s="7"/>
      <c r="C143" s="7"/>
      <c r="D143" s="7"/>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row>
    <row r="144" customFormat="false" ht="15" hidden="false" customHeight="true" outlineLevel="0" collapsed="false">
      <c r="A144" s="7"/>
      <c r="B144" s="7"/>
      <c r="C144" s="7"/>
      <c r="D144" s="7"/>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row>
    <row r="145" customFormat="false" ht="15" hidden="false" customHeight="true" outlineLevel="0" collapsed="false">
      <c r="A145" s="7"/>
      <c r="B145" s="7"/>
      <c r="C145" s="7"/>
      <c r="D145" s="7"/>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row>
    <row r="146" customFormat="false" ht="15" hidden="false" customHeight="true" outlineLevel="0" collapsed="false">
      <c r="A146" s="7"/>
      <c r="B146" s="7"/>
      <c r="C146" s="7"/>
      <c r="D146" s="7"/>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row>
    <row r="147" customFormat="false" ht="15" hidden="false" customHeight="true" outlineLevel="0" collapsed="false">
      <c r="A147" s="7"/>
      <c r="B147" s="7"/>
      <c r="C147" s="7"/>
      <c r="D147" s="7"/>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row>
    <row r="148" customFormat="false" ht="15" hidden="false" customHeight="true" outlineLevel="0" collapsed="false">
      <c r="A148" s="7"/>
      <c r="B148" s="7"/>
      <c r="C148" s="7"/>
      <c r="D148" s="7"/>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row>
    <row r="149" customFormat="false" ht="15" hidden="false" customHeight="true" outlineLevel="0" collapsed="false">
      <c r="A149" s="7"/>
      <c r="B149" s="7"/>
      <c r="C149" s="7"/>
      <c r="D149" s="7"/>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row>
    <row r="150" customFormat="false" ht="15" hidden="false" customHeight="true" outlineLevel="0" collapsed="false">
      <c r="A150" s="7"/>
      <c r="B150" s="7"/>
      <c r="C150" s="7"/>
      <c r="D150" s="7"/>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row>
    <row r="151" customFormat="false" ht="15" hidden="false" customHeight="true" outlineLevel="0" collapsed="false">
      <c r="A151" s="7"/>
      <c r="B151" s="7"/>
      <c r="C151" s="7"/>
      <c r="D151" s="7"/>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row>
    <row r="152" customFormat="false" ht="15" hidden="false" customHeight="true" outlineLevel="0" collapsed="false">
      <c r="A152" s="7"/>
      <c r="B152" s="7"/>
      <c r="C152" s="7"/>
      <c r="D152" s="7"/>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row>
    <row r="153" customFormat="false" ht="15" hidden="false" customHeight="true" outlineLevel="0" collapsed="false">
      <c r="A153" s="7"/>
      <c r="B153" s="7"/>
      <c r="C153" s="7"/>
      <c r="D153" s="7"/>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row>
    <row r="154" customFormat="false" ht="15" hidden="false" customHeight="true" outlineLevel="0" collapsed="false">
      <c r="A154" s="7"/>
      <c r="B154" s="7"/>
      <c r="C154" s="7"/>
      <c r="D154" s="7"/>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row>
    <row r="155" customFormat="false" ht="15" hidden="false" customHeight="true" outlineLevel="0" collapsed="false">
      <c r="A155" s="7"/>
      <c r="B155" s="7"/>
      <c r="C155" s="7"/>
      <c r="D155" s="7"/>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row>
    <row r="156" customFormat="false" ht="15" hidden="false" customHeight="true" outlineLevel="0" collapsed="false">
      <c r="A156" s="7"/>
      <c r="B156" s="7"/>
      <c r="C156" s="7"/>
      <c r="D156" s="7"/>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row>
    <row r="157" customFormat="false" ht="15" hidden="false" customHeight="true" outlineLevel="0" collapsed="false">
      <c r="A157" s="7"/>
      <c r="B157" s="7"/>
      <c r="C157" s="7"/>
      <c r="D157" s="7"/>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row>
    <row r="158" customFormat="false" ht="15" hidden="false" customHeight="true" outlineLevel="0" collapsed="false">
      <c r="A158" s="7"/>
      <c r="B158" s="7"/>
      <c r="C158" s="7"/>
      <c r="D158" s="7"/>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row>
    <row r="159" customFormat="false" ht="15" hidden="false" customHeight="true" outlineLevel="0" collapsed="false">
      <c r="A159" s="7"/>
      <c r="B159" s="7"/>
      <c r="C159" s="7"/>
      <c r="D159" s="7"/>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row>
    <row r="160" customFormat="false" ht="15" hidden="false" customHeight="true" outlineLevel="0" collapsed="false">
      <c r="A160" s="7"/>
      <c r="B160" s="7"/>
      <c r="C160" s="7"/>
      <c r="D160" s="7"/>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row>
    <row r="161" customFormat="false" ht="15" hidden="false" customHeight="true" outlineLevel="0" collapsed="false">
      <c r="A161" s="7"/>
      <c r="B161" s="7"/>
      <c r="C161" s="7"/>
      <c r="D161" s="7"/>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row>
    <row r="162" customFormat="false" ht="15" hidden="false" customHeight="true" outlineLevel="0" collapsed="false">
      <c r="A162" s="7"/>
      <c r="B162" s="7"/>
      <c r="C162" s="7"/>
      <c r="D162" s="7"/>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row>
    <row r="163" customFormat="false" ht="15" hidden="false" customHeight="true" outlineLevel="0" collapsed="false">
      <c r="A163" s="7"/>
      <c r="B163" s="7"/>
      <c r="C163" s="7"/>
      <c r="D163" s="7"/>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row>
    <row r="164" customFormat="false" ht="15" hidden="false" customHeight="true" outlineLevel="0" collapsed="false">
      <c r="A164" s="7"/>
      <c r="B164" s="7"/>
      <c r="C164" s="7"/>
      <c r="D164" s="7"/>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row>
    <row r="165" customFormat="false" ht="15" hidden="false" customHeight="true" outlineLevel="0" collapsed="false">
      <c r="A165" s="7"/>
      <c r="B165" s="7"/>
      <c r="C165" s="7"/>
      <c r="D165" s="7"/>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row>
    <row r="166" customFormat="false" ht="15" hidden="false" customHeight="true" outlineLevel="0" collapsed="false">
      <c r="A166" s="7"/>
      <c r="B166" s="7"/>
      <c r="C166" s="7"/>
      <c r="D166" s="7"/>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row>
    <row r="167" customFormat="false" ht="15" hidden="false" customHeight="true" outlineLevel="0" collapsed="false">
      <c r="A167" s="7"/>
      <c r="B167" s="7"/>
      <c r="C167" s="7"/>
      <c r="D167" s="7"/>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row>
    <row r="168" customFormat="false" ht="15" hidden="false" customHeight="true" outlineLevel="0" collapsed="false">
      <c r="A168" s="7"/>
      <c r="B168" s="7"/>
      <c r="C168" s="7"/>
      <c r="D168" s="7"/>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row>
    <row r="169" customFormat="false" ht="15" hidden="false" customHeight="true" outlineLevel="0" collapsed="false">
      <c r="A169" s="7"/>
      <c r="B169" s="7"/>
      <c r="C169" s="7"/>
      <c r="D169" s="7"/>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row>
    <row r="170" customFormat="false" ht="15" hidden="false" customHeight="true" outlineLevel="0" collapsed="false">
      <c r="A170" s="7"/>
      <c r="B170" s="7"/>
      <c r="C170" s="7"/>
      <c r="D170" s="7"/>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row>
    <row r="171" customFormat="false" ht="15" hidden="false" customHeight="true" outlineLevel="0" collapsed="false">
      <c r="A171" s="7"/>
      <c r="B171" s="7"/>
      <c r="C171" s="7"/>
      <c r="D171" s="7"/>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row>
    <row r="172" customFormat="false" ht="15" hidden="false" customHeight="true" outlineLevel="0" collapsed="false">
      <c r="A172" s="7"/>
      <c r="B172" s="7"/>
      <c r="C172" s="7"/>
      <c r="D172" s="7"/>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row>
    <row r="173" customFormat="false" ht="15" hidden="false" customHeight="true" outlineLevel="0" collapsed="false">
      <c r="A173" s="7"/>
      <c r="B173" s="7"/>
      <c r="C173" s="7"/>
      <c r="D173" s="7"/>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row>
    <row r="174" customFormat="false" ht="15" hidden="false" customHeight="true" outlineLevel="0" collapsed="false">
      <c r="A174" s="7"/>
      <c r="B174" s="7"/>
      <c r="C174" s="7"/>
      <c r="D174" s="7"/>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row>
    <row r="175" customFormat="false" ht="15" hidden="false" customHeight="true" outlineLevel="0" collapsed="false">
      <c r="A175" s="7"/>
      <c r="B175" s="7"/>
      <c r="C175" s="7"/>
      <c r="D175" s="7"/>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row>
    <row r="176" customFormat="false" ht="15" hidden="false" customHeight="true" outlineLevel="0" collapsed="false">
      <c r="A176" s="7"/>
      <c r="B176" s="7"/>
      <c r="C176" s="7"/>
      <c r="D176" s="7"/>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row>
    <row r="177" customFormat="false" ht="15" hidden="false" customHeight="true" outlineLevel="0" collapsed="false">
      <c r="A177" s="7"/>
      <c r="B177" s="7"/>
      <c r="C177" s="7"/>
      <c r="D177" s="7"/>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row>
    <row r="178" customFormat="false" ht="15" hidden="false" customHeight="true" outlineLevel="0" collapsed="false">
      <c r="A178" s="7"/>
      <c r="B178" s="7"/>
      <c r="C178" s="7"/>
      <c r="D178" s="7"/>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row>
    <row r="179" customFormat="false" ht="15" hidden="false" customHeight="true" outlineLevel="0" collapsed="false">
      <c r="A179" s="7"/>
      <c r="B179" s="7"/>
      <c r="C179" s="7"/>
      <c r="D179" s="7"/>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row>
    <row r="180" customFormat="false" ht="15" hidden="false" customHeight="true" outlineLevel="0" collapsed="false">
      <c r="A180" s="7"/>
      <c r="B180" s="7"/>
      <c r="C180" s="7"/>
      <c r="D180" s="7"/>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row>
    <row r="181" customFormat="false" ht="15" hidden="false" customHeight="true" outlineLevel="0" collapsed="false">
      <c r="A181" s="7"/>
      <c r="B181" s="7"/>
      <c r="C181" s="7"/>
      <c r="D181" s="7"/>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row>
    <row r="182" customFormat="false" ht="15" hidden="false" customHeight="true" outlineLevel="0" collapsed="false">
      <c r="A182" s="7"/>
      <c r="B182" s="7"/>
      <c r="C182" s="7"/>
      <c r="D182" s="7"/>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row>
    <row r="183" customFormat="false" ht="15" hidden="false" customHeight="true" outlineLevel="0" collapsed="false">
      <c r="A183" s="7"/>
      <c r="B183" s="7"/>
      <c r="C183" s="7"/>
      <c r="D183" s="7"/>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row>
    <row r="184" customFormat="false" ht="15" hidden="false" customHeight="true" outlineLevel="0" collapsed="false">
      <c r="A184" s="7"/>
      <c r="B184" s="7"/>
      <c r="C184" s="7"/>
      <c r="D184" s="7"/>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row>
    <row r="185" customFormat="false" ht="15" hidden="false" customHeight="true" outlineLevel="0" collapsed="false">
      <c r="A185" s="7"/>
      <c r="B185" s="7"/>
      <c r="C185" s="7"/>
      <c r="D185" s="7"/>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row>
    <row r="186" customFormat="false" ht="15" hidden="false" customHeight="true" outlineLevel="0" collapsed="false">
      <c r="A186" s="7"/>
      <c r="B186" s="7"/>
      <c r="C186" s="7"/>
      <c r="D186" s="7"/>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row>
    <row r="187" customFormat="false" ht="15" hidden="false" customHeight="true" outlineLevel="0" collapsed="false">
      <c r="A187" s="7"/>
      <c r="B187" s="7"/>
      <c r="C187" s="7"/>
      <c r="D187" s="7"/>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row>
    <row r="188" customFormat="false" ht="15" hidden="false" customHeight="true" outlineLevel="0" collapsed="false">
      <c r="A188" s="7"/>
      <c r="B188" s="7"/>
      <c r="C188" s="7"/>
      <c r="D188" s="7"/>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row>
    <row r="189" customFormat="false" ht="15" hidden="false" customHeight="true" outlineLevel="0" collapsed="false">
      <c r="A189" s="7"/>
      <c r="B189" s="7"/>
      <c r="C189" s="7"/>
      <c r="D189" s="7"/>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row>
    <row r="190" customFormat="false" ht="15" hidden="false" customHeight="true" outlineLevel="0" collapsed="false">
      <c r="A190" s="7"/>
      <c r="B190" s="7"/>
      <c r="C190" s="7"/>
      <c r="D190" s="7"/>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row>
    <row r="191" customFormat="false" ht="15" hidden="false" customHeight="true" outlineLevel="0" collapsed="false">
      <c r="A191" s="7"/>
      <c r="B191" s="7"/>
      <c r="C191" s="7"/>
      <c r="D191" s="7"/>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row>
    <row r="192" customFormat="false" ht="15" hidden="false" customHeight="true" outlineLevel="0" collapsed="false">
      <c r="A192" s="7"/>
      <c r="B192" s="7"/>
      <c r="C192" s="7"/>
      <c r="D192" s="7"/>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row>
    <row r="193" customFormat="false" ht="15" hidden="false" customHeight="true" outlineLevel="0" collapsed="false">
      <c r="A193" s="7"/>
      <c r="B193" s="7"/>
      <c r="C193" s="7"/>
      <c r="D193" s="7"/>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row>
    <row r="194" customFormat="false" ht="15" hidden="false" customHeight="true" outlineLevel="0" collapsed="false">
      <c r="A194" s="7"/>
      <c r="B194" s="7"/>
      <c r="C194" s="7"/>
      <c r="D194" s="7"/>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row>
    <row r="195" customFormat="false" ht="15" hidden="false" customHeight="true" outlineLevel="0" collapsed="false">
      <c r="A195" s="7"/>
      <c r="B195" s="7"/>
      <c r="C195" s="7"/>
      <c r="D195" s="7"/>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row>
    <row r="196" customFormat="false" ht="15" hidden="false" customHeight="true" outlineLevel="0" collapsed="false">
      <c r="A196" s="7"/>
      <c r="B196" s="7"/>
      <c r="C196" s="7"/>
      <c r="D196" s="7"/>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row>
    <row r="197" customFormat="false" ht="15" hidden="false" customHeight="true" outlineLevel="0" collapsed="false">
      <c r="A197" s="7"/>
      <c r="B197" s="7"/>
      <c r="C197" s="7"/>
      <c r="D197" s="7"/>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row>
    <row r="198" customFormat="false" ht="15" hidden="false" customHeight="true" outlineLevel="0" collapsed="false">
      <c r="A198" s="7"/>
      <c r="B198" s="7"/>
      <c r="C198" s="7"/>
      <c r="D198" s="7"/>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row>
    <row r="199" customFormat="false" ht="15" hidden="false" customHeight="true" outlineLevel="0" collapsed="false">
      <c r="A199" s="7"/>
      <c r="B199" s="7"/>
      <c r="C199" s="7"/>
      <c r="D199" s="7"/>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row>
    <row r="200" customFormat="false" ht="15" hidden="false" customHeight="true" outlineLevel="0" collapsed="false">
      <c r="A200" s="7"/>
      <c r="B200" s="7"/>
      <c r="C200" s="7"/>
      <c r="D200" s="7"/>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38"/>
    <col collapsed="false" customWidth="true" hidden="false" outlineLevel="0" max="2" min="2" style="1" width="15.88"/>
    <col collapsed="false" customWidth="true" hidden="false" outlineLevel="0" max="3" min="3" style="1" width="121.51"/>
    <col collapsed="false" customWidth="true" hidden="false" outlineLevel="0" max="4" min="4" style="1" width="100.63"/>
    <col collapsed="false" customWidth="true" hidden="false" outlineLevel="0" max="5" min="5" style="1" width="7"/>
    <col collapsed="false" customWidth="true" hidden="false" outlineLevel="0" max="6" min="6" style="1" width="34.75"/>
  </cols>
  <sheetData>
    <row r="1" customFormat="false" ht="30" hidden="false" customHeight="true" outlineLevel="0" collapsed="false">
      <c r="A1" s="10" t="s">
        <v>415</v>
      </c>
      <c r="B1" s="10" t="s">
        <v>416</v>
      </c>
      <c r="C1" s="10" t="s">
        <v>417</v>
      </c>
      <c r="D1" s="10" t="s">
        <v>418</v>
      </c>
      <c r="E1" s="10" t="s">
        <v>419</v>
      </c>
      <c r="F1" s="10" t="s">
        <v>101</v>
      </c>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row>
    <row r="2" customFormat="false" ht="27.75" hidden="false" customHeight="true" outlineLevel="0" collapsed="false">
      <c r="A2" s="7" t="s">
        <v>420</v>
      </c>
      <c r="B2" s="7" t="s">
        <v>421</v>
      </c>
      <c r="C2" s="7" t="s">
        <v>422</v>
      </c>
      <c r="D2" s="7" t="s">
        <v>423</v>
      </c>
      <c r="E2" s="30" t="b">
        <f aca="false">FALSE()</f>
        <v>0</v>
      </c>
      <c r="F2" s="7"/>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row>
    <row r="3" customFormat="false" ht="15" hidden="false" customHeight="true" outlineLevel="0" collapsed="false">
      <c r="A3" s="7" t="s">
        <v>424</v>
      </c>
      <c r="B3" s="7" t="s">
        <v>425</v>
      </c>
      <c r="C3" s="7" t="s">
        <v>426</v>
      </c>
      <c r="D3" s="7" t="s">
        <v>427</v>
      </c>
      <c r="E3" s="30" t="b">
        <f aca="false">FALSE()</f>
        <v>0</v>
      </c>
      <c r="F3" s="7"/>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row>
    <row r="4" customFormat="false" ht="27.75" hidden="false" customHeight="true" outlineLevel="0" collapsed="false">
      <c r="A4" s="7" t="s">
        <v>428</v>
      </c>
      <c r="B4" s="7" t="s">
        <v>429</v>
      </c>
      <c r="C4" s="7" t="s">
        <v>155</v>
      </c>
      <c r="D4" s="7" t="s">
        <v>430</v>
      </c>
      <c r="E4" s="30" t="b">
        <f aca="false">FALSE()</f>
        <v>0</v>
      </c>
      <c r="F4" s="7"/>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row>
    <row r="5" customFormat="false" ht="32.25" hidden="false" customHeight="true" outlineLevel="0" collapsed="false">
      <c r="A5" s="7" t="s">
        <v>431</v>
      </c>
      <c r="B5" s="7" t="s">
        <v>429</v>
      </c>
      <c r="C5" s="7" t="s">
        <v>142</v>
      </c>
      <c r="D5" s="7" t="s">
        <v>432</v>
      </c>
      <c r="E5" s="30" t="b">
        <f aca="false">FALSE()</f>
        <v>0</v>
      </c>
      <c r="F5" s="7" t="s">
        <v>433</v>
      </c>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row>
    <row r="6" customFormat="false" ht="27.75" hidden="false" customHeight="true" outlineLevel="0" collapsed="false">
      <c r="A6" s="7" t="s">
        <v>434</v>
      </c>
      <c r="B6" s="7" t="s">
        <v>429</v>
      </c>
      <c r="C6" s="7" t="s">
        <v>133</v>
      </c>
      <c r="D6" s="7" t="s">
        <v>435</v>
      </c>
      <c r="E6" s="30" t="b">
        <f aca="false">FALSE()</f>
        <v>0</v>
      </c>
      <c r="F6" s="7"/>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row>
    <row r="7" customFormat="false" ht="27.75" hidden="false" customHeight="true" outlineLevel="0" collapsed="false">
      <c r="A7" s="7" t="s">
        <v>436</v>
      </c>
      <c r="B7" s="7" t="s">
        <v>429</v>
      </c>
      <c r="C7" s="7" t="s">
        <v>170</v>
      </c>
      <c r="D7" s="7" t="s">
        <v>437</v>
      </c>
      <c r="E7" s="30" t="b">
        <f aca="false">FALSE()</f>
        <v>0</v>
      </c>
      <c r="F7" s="7"/>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row>
    <row r="8" customFormat="false" ht="27.75" hidden="false" customHeight="true" outlineLevel="0" collapsed="false">
      <c r="A8" s="7" t="s">
        <v>438</v>
      </c>
      <c r="B8" s="7" t="s">
        <v>429</v>
      </c>
      <c r="C8" s="7" t="s">
        <v>203</v>
      </c>
      <c r="D8" s="7" t="s">
        <v>439</v>
      </c>
      <c r="E8" s="30" t="b">
        <f aca="false">FALSE()</f>
        <v>0</v>
      </c>
      <c r="F8" s="7"/>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row>
    <row r="9" customFormat="false" ht="27.75" hidden="false" customHeight="true" outlineLevel="0" collapsed="false">
      <c r="A9" s="7" t="s">
        <v>440</v>
      </c>
      <c r="B9" s="7" t="s">
        <v>429</v>
      </c>
      <c r="C9" s="7" t="s">
        <v>204</v>
      </c>
      <c r="D9" s="7" t="s">
        <v>441</v>
      </c>
      <c r="E9" s="30" t="b">
        <f aca="false">FALSE()</f>
        <v>0</v>
      </c>
      <c r="F9" s="7"/>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row>
    <row r="10" customFormat="false" ht="32.25" hidden="false" customHeight="true" outlineLevel="0" collapsed="false">
      <c r="A10" s="7" t="s">
        <v>442</v>
      </c>
      <c r="B10" s="7" t="s">
        <v>429</v>
      </c>
      <c r="C10" s="7" t="s">
        <v>215</v>
      </c>
      <c r="D10" s="7" t="s">
        <v>443</v>
      </c>
      <c r="E10" s="30" t="b">
        <f aca="false">FALSE()</f>
        <v>0</v>
      </c>
      <c r="F10" s="7" t="s">
        <v>444</v>
      </c>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row>
    <row r="11" customFormat="false" ht="27.75" hidden="false" customHeight="true" outlineLevel="0" collapsed="false">
      <c r="A11" s="7" t="s">
        <v>445</v>
      </c>
      <c r="B11" s="7" t="s">
        <v>446</v>
      </c>
      <c r="C11" s="7" t="s">
        <v>447</v>
      </c>
      <c r="D11" s="7" t="s">
        <v>448</v>
      </c>
      <c r="E11" s="30" t="b">
        <f aca="false">FALSE()</f>
        <v>0</v>
      </c>
      <c r="F11" s="7"/>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row>
    <row r="12" customFormat="false" ht="27.75" hidden="false" customHeight="true" outlineLevel="0" collapsed="false">
      <c r="A12" s="7" t="s">
        <v>449</v>
      </c>
      <c r="B12" s="7" t="s">
        <v>429</v>
      </c>
      <c r="C12" s="7" t="s">
        <v>450</v>
      </c>
      <c r="D12" s="7" t="s">
        <v>451</v>
      </c>
      <c r="E12" s="7" t="s">
        <v>452</v>
      </c>
      <c r="F12" s="7"/>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row>
    <row r="13" customFormat="false" ht="15" hidden="false" customHeight="true" outlineLevel="0" collapsed="false">
      <c r="A13" s="7" t="s">
        <v>453</v>
      </c>
      <c r="B13" s="7" t="s">
        <v>429</v>
      </c>
      <c r="C13" s="7" t="s">
        <v>181</v>
      </c>
      <c r="D13" s="7" t="s">
        <v>454</v>
      </c>
      <c r="E13" s="7" t="s">
        <v>452</v>
      </c>
      <c r="F13" s="7"/>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row>
    <row r="14" customFormat="false" ht="15" hidden="false" customHeight="true" outlineLevel="0" collapsed="false">
      <c r="A14" s="7" t="s">
        <v>455</v>
      </c>
      <c r="B14" s="7" t="s">
        <v>429</v>
      </c>
      <c r="C14" s="7" t="s">
        <v>192</v>
      </c>
      <c r="D14" s="7" t="s">
        <v>456</v>
      </c>
      <c r="E14" s="7" t="s">
        <v>452</v>
      </c>
      <c r="F14" s="7"/>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row>
    <row r="15" customFormat="false" ht="15" hidden="false" customHeight="true" outlineLevel="0" collapsed="false">
      <c r="A15" s="7" t="s">
        <v>457</v>
      </c>
      <c r="B15" s="7" t="s">
        <v>429</v>
      </c>
      <c r="C15" s="7" t="s">
        <v>118</v>
      </c>
      <c r="D15" s="7" t="s">
        <v>458</v>
      </c>
      <c r="E15" s="7" t="s">
        <v>452</v>
      </c>
      <c r="F15" s="7"/>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row>
    <row r="16" customFormat="false" ht="15" hidden="false" customHeight="true" outlineLevel="0" collapsed="false">
      <c r="A16" s="7" t="s">
        <v>459</v>
      </c>
      <c r="B16" s="7" t="s">
        <v>446</v>
      </c>
      <c r="C16" s="7" t="s">
        <v>143</v>
      </c>
      <c r="D16" s="7" t="s">
        <v>460</v>
      </c>
      <c r="E16" s="7" t="s">
        <v>452</v>
      </c>
      <c r="F16" s="7" t="s">
        <v>461</v>
      </c>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row>
    <row r="17" customFormat="false" ht="15" hidden="false" customHeight="true" outlineLevel="0" collapsed="false">
      <c r="A17" s="7" t="s">
        <v>462</v>
      </c>
      <c r="B17" s="7" t="s">
        <v>446</v>
      </c>
      <c r="C17" s="7" t="s">
        <v>156</v>
      </c>
      <c r="D17" s="7" t="s">
        <v>463</v>
      </c>
      <c r="E17" s="7" t="s">
        <v>452</v>
      </c>
      <c r="F17" s="7" t="s">
        <v>461</v>
      </c>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row>
    <row r="18" customFormat="false" ht="15" hidden="false" customHeight="true" outlineLevel="0" collapsed="false">
      <c r="A18" s="7" t="s">
        <v>464</v>
      </c>
      <c r="B18" s="7" t="s">
        <v>429</v>
      </c>
      <c r="C18" s="7" t="s">
        <v>216</v>
      </c>
      <c r="D18" s="7" t="s">
        <v>465</v>
      </c>
      <c r="E18" s="7" t="s">
        <v>452</v>
      </c>
      <c r="F18" s="7" t="s">
        <v>466</v>
      </c>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row>
    <row r="19" customFormat="false" ht="15" hidden="false" customHeight="true" outlineLevel="0" collapsed="false">
      <c r="A19" s="7"/>
      <c r="B19" s="7"/>
      <c r="C19" s="7"/>
      <c r="D19" s="7"/>
      <c r="E19" s="7"/>
      <c r="F19" s="7"/>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row>
    <row r="20" customFormat="false" ht="15" hidden="false" customHeight="true" outlineLevel="0" collapsed="false">
      <c r="A20" s="7"/>
      <c r="B20" s="7"/>
      <c r="C20" s="7"/>
      <c r="D20" s="7"/>
      <c r="E20" s="7"/>
      <c r="F20" s="7"/>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row>
    <row r="21" customFormat="false" ht="15" hidden="false" customHeight="true" outlineLevel="0" collapsed="false">
      <c r="A21" s="7"/>
      <c r="B21" s="7"/>
      <c r="C21" s="7"/>
      <c r="D21" s="7"/>
      <c r="E21" s="7"/>
      <c r="F21" s="7"/>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row>
    <row r="22" customFormat="false" ht="15" hidden="false" customHeight="true" outlineLevel="0" collapsed="false">
      <c r="A22" s="7"/>
      <c r="B22" s="7"/>
      <c r="C22" s="7"/>
      <c r="D22" s="7"/>
      <c r="E22" s="7"/>
      <c r="F22" s="7"/>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row>
    <row r="23" customFormat="false" ht="15" hidden="false" customHeight="true" outlineLevel="0" collapsed="false">
      <c r="A23" s="7"/>
      <c r="B23" s="7"/>
      <c r="C23" s="7"/>
      <c r="D23" s="7"/>
      <c r="E23" s="7"/>
      <c r="F23" s="7"/>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row>
    <row r="24" customFormat="false" ht="15" hidden="false" customHeight="true" outlineLevel="0" collapsed="false">
      <c r="A24" s="7"/>
      <c r="B24" s="7"/>
      <c r="C24" s="7"/>
      <c r="D24" s="7"/>
      <c r="E24" s="7"/>
      <c r="F24" s="7"/>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row>
    <row r="25" customFormat="false" ht="15" hidden="false" customHeight="true" outlineLevel="0" collapsed="false">
      <c r="A25" s="7"/>
      <c r="B25" s="7"/>
      <c r="C25" s="7"/>
      <c r="D25" s="7"/>
      <c r="E25" s="7"/>
      <c r="F25" s="7"/>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row>
    <row r="26" customFormat="false" ht="15" hidden="false" customHeight="true" outlineLevel="0" collapsed="false">
      <c r="A26" s="7"/>
      <c r="B26" s="7"/>
      <c r="C26" s="7"/>
      <c r="D26" s="7"/>
      <c r="E26" s="7"/>
      <c r="F26" s="7"/>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row>
    <row r="27" customFormat="false" ht="15" hidden="false" customHeight="true" outlineLevel="0" collapsed="false">
      <c r="A27" s="7"/>
      <c r="B27" s="7"/>
      <c r="C27" s="7"/>
      <c r="D27" s="7"/>
      <c r="E27" s="7"/>
      <c r="F27" s="7"/>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row>
    <row r="28" customFormat="false" ht="15" hidden="false" customHeight="true" outlineLevel="0" collapsed="false">
      <c r="A28" s="7"/>
      <c r="B28" s="7"/>
      <c r="C28" s="7"/>
      <c r="D28" s="7"/>
      <c r="E28" s="7"/>
      <c r="F28" s="7"/>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row>
    <row r="29" customFormat="false" ht="15" hidden="false" customHeight="true" outlineLevel="0" collapsed="false">
      <c r="A29" s="7"/>
      <c r="B29" s="7"/>
      <c r="C29" s="7"/>
      <c r="D29" s="7"/>
      <c r="E29" s="7"/>
      <c r="F29" s="7"/>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row>
    <row r="30" customFormat="false" ht="15" hidden="false" customHeight="true" outlineLevel="0" collapsed="false">
      <c r="A30" s="7"/>
      <c r="B30" s="7"/>
      <c r="C30" s="7"/>
      <c r="D30" s="7"/>
      <c r="E30" s="7"/>
      <c r="F30" s="7"/>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row>
    <row r="31" customFormat="false" ht="15" hidden="false" customHeight="true" outlineLevel="0" collapsed="false">
      <c r="A31" s="7"/>
      <c r="B31" s="7"/>
      <c r="C31" s="7"/>
      <c r="D31" s="7"/>
      <c r="E31" s="7"/>
      <c r="F31" s="7"/>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row>
    <row r="32" customFormat="false" ht="15" hidden="false" customHeight="true" outlineLevel="0" collapsed="false">
      <c r="A32" s="7"/>
      <c r="B32" s="7"/>
      <c r="C32" s="7"/>
      <c r="D32" s="7"/>
      <c r="E32" s="7"/>
      <c r="F32" s="7"/>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row>
    <row r="33" customFormat="false" ht="15" hidden="false" customHeight="true" outlineLevel="0" collapsed="false">
      <c r="A33" s="7"/>
      <c r="B33" s="7"/>
      <c r="C33" s="7"/>
      <c r="D33" s="7"/>
      <c r="E33" s="7"/>
      <c r="F33" s="7"/>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row>
    <row r="34" customFormat="false" ht="15" hidden="false" customHeight="true" outlineLevel="0" collapsed="false">
      <c r="A34" s="7"/>
      <c r="B34" s="7"/>
      <c r="C34" s="7"/>
      <c r="D34" s="7"/>
      <c r="E34" s="7"/>
      <c r="F34" s="7"/>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row>
    <row r="35" customFormat="false" ht="15" hidden="false" customHeight="true" outlineLevel="0" collapsed="false">
      <c r="A35" s="7"/>
      <c r="B35" s="7"/>
      <c r="C35" s="7"/>
      <c r="D35" s="7"/>
      <c r="E35" s="7"/>
      <c r="F35" s="7"/>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row>
    <row r="36" customFormat="false" ht="15" hidden="false" customHeight="true" outlineLevel="0" collapsed="false">
      <c r="A36" s="7"/>
      <c r="B36" s="7"/>
      <c r="C36" s="7"/>
      <c r="D36" s="7"/>
      <c r="E36" s="7"/>
      <c r="F36" s="7"/>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row>
    <row r="37" customFormat="false" ht="15" hidden="false" customHeight="true" outlineLevel="0" collapsed="false">
      <c r="A37" s="7"/>
      <c r="B37" s="7"/>
      <c r="C37" s="7"/>
      <c r="D37" s="7"/>
      <c r="E37" s="7"/>
      <c r="F37" s="7"/>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row>
    <row r="38" customFormat="false" ht="15" hidden="false" customHeight="true" outlineLevel="0" collapsed="false">
      <c r="A38" s="7"/>
      <c r="B38" s="7"/>
      <c r="C38" s="7"/>
      <c r="D38" s="7"/>
      <c r="E38" s="7"/>
      <c r="F38" s="7"/>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row>
    <row r="39" customFormat="false" ht="15" hidden="false" customHeight="true" outlineLevel="0" collapsed="false">
      <c r="A39" s="7"/>
      <c r="B39" s="7"/>
      <c r="C39" s="7"/>
      <c r="D39" s="7"/>
      <c r="E39" s="7"/>
      <c r="F39" s="7"/>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row>
    <row r="40" customFormat="false" ht="15" hidden="false" customHeight="true" outlineLevel="0" collapsed="false">
      <c r="A40" s="7"/>
      <c r="B40" s="7"/>
      <c r="C40" s="7"/>
      <c r="D40" s="7"/>
      <c r="E40" s="7"/>
      <c r="F40" s="7"/>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row>
    <row r="41" customFormat="false" ht="15" hidden="false" customHeight="true" outlineLevel="0" collapsed="false">
      <c r="A41" s="7"/>
      <c r="B41" s="7"/>
      <c r="C41" s="7"/>
      <c r="D41" s="7"/>
      <c r="E41" s="7"/>
      <c r="F41" s="7"/>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row>
    <row r="42" customFormat="false" ht="15" hidden="false" customHeight="true" outlineLevel="0" collapsed="false">
      <c r="A42" s="7"/>
      <c r="B42" s="7"/>
      <c r="C42" s="7"/>
      <c r="D42" s="7"/>
      <c r="E42" s="7"/>
      <c r="F42" s="7"/>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row>
    <row r="43" customFormat="false" ht="15" hidden="false" customHeight="true" outlineLevel="0" collapsed="false">
      <c r="A43" s="7"/>
      <c r="B43" s="7"/>
      <c r="C43" s="7"/>
      <c r="D43" s="7"/>
      <c r="E43" s="7"/>
      <c r="F43" s="7"/>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row>
    <row r="44" customFormat="false" ht="15" hidden="false" customHeight="true" outlineLevel="0" collapsed="false">
      <c r="A44" s="7"/>
      <c r="B44" s="7"/>
      <c r="C44" s="7"/>
      <c r="D44" s="7"/>
      <c r="E44" s="7"/>
      <c r="F44" s="7"/>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row>
    <row r="45" customFormat="false" ht="15" hidden="false" customHeight="true" outlineLevel="0" collapsed="false">
      <c r="A45" s="7"/>
      <c r="B45" s="7"/>
      <c r="C45" s="7"/>
      <c r="D45" s="7"/>
      <c r="E45" s="7"/>
      <c r="F45" s="7"/>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row>
    <row r="46" customFormat="false" ht="15" hidden="false" customHeight="true" outlineLevel="0" collapsed="false">
      <c r="A46" s="7"/>
      <c r="B46" s="7"/>
      <c r="C46" s="7"/>
      <c r="D46" s="7"/>
      <c r="E46" s="7"/>
      <c r="F46" s="7"/>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row>
    <row r="47" customFormat="false" ht="15" hidden="false" customHeight="true" outlineLevel="0" collapsed="false">
      <c r="A47" s="7"/>
      <c r="B47" s="7"/>
      <c r="C47" s="7"/>
      <c r="D47" s="7"/>
      <c r="E47" s="7"/>
      <c r="F47" s="7"/>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row>
    <row r="48" customFormat="false" ht="15" hidden="false" customHeight="true" outlineLevel="0" collapsed="false">
      <c r="A48" s="7"/>
      <c r="B48" s="7"/>
      <c r="C48" s="7"/>
      <c r="D48" s="7"/>
      <c r="E48" s="7"/>
      <c r="F48" s="7"/>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row>
    <row r="49" customFormat="false" ht="15" hidden="false" customHeight="true" outlineLevel="0" collapsed="false">
      <c r="A49" s="7"/>
      <c r="B49" s="7"/>
      <c r="C49" s="7"/>
      <c r="D49" s="7"/>
      <c r="E49" s="7"/>
      <c r="F49" s="7"/>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row>
    <row r="50" customFormat="false" ht="15" hidden="false" customHeight="true" outlineLevel="0" collapsed="false">
      <c r="A50" s="7"/>
      <c r="B50" s="7"/>
      <c r="C50" s="7"/>
      <c r="D50" s="7"/>
      <c r="E50" s="7"/>
      <c r="F50" s="7"/>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row>
    <row r="51" customFormat="false" ht="15" hidden="false" customHeight="true" outlineLevel="0" collapsed="false">
      <c r="A51" s="7"/>
      <c r="B51" s="7"/>
      <c r="C51" s="7"/>
      <c r="D51" s="7"/>
      <c r="E51" s="7"/>
      <c r="F51" s="7"/>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row>
    <row r="52" customFormat="false" ht="15" hidden="false" customHeight="true" outlineLevel="0" collapsed="false">
      <c r="A52" s="7"/>
      <c r="B52" s="7"/>
      <c r="C52" s="7"/>
      <c r="D52" s="7"/>
      <c r="E52" s="7"/>
      <c r="F52" s="7"/>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row>
    <row r="53" customFormat="false" ht="15" hidden="false" customHeight="true" outlineLevel="0" collapsed="false">
      <c r="A53" s="7"/>
      <c r="B53" s="7"/>
      <c r="C53" s="7"/>
      <c r="D53" s="7"/>
      <c r="E53" s="7"/>
      <c r="F53" s="7"/>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row>
    <row r="54" customFormat="false" ht="15" hidden="false" customHeight="true" outlineLevel="0" collapsed="false">
      <c r="A54" s="7"/>
      <c r="B54" s="7"/>
      <c r="C54" s="7"/>
      <c r="D54" s="7"/>
      <c r="E54" s="7"/>
      <c r="F54" s="7"/>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row>
    <row r="55" customFormat="false" ht="15" hidden="false" customHeight="true" outlineLevel="0" collapsed="false">
      <c r="A55" s="7"/>
      <c r="B55" s="7"/>
      <c r="C55" s="7"/>
      <c r="D55" s="7"/>
      <c r="E55" s="7"/>
      <c r="F55" s="7"/>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row>
    <row r="56" customFormat="false" ht="15" hidden="false" customHeight="true" outlineLevel="0" collapsed="false">
      <c r="A56" s="7"/>
      <c r="B56" s="7"/>
      <c r="C56" s="7"/>
      <c r="D56" s="7"/>
      <c r="E56" s="7"/>
      <c r="F56" s="7"/>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row>
    <row r="57" customFormat="false" ht="15" hidden="false" customHeight="true" outlineLevel="0" collapsed="false">
      <c r="A57" s="7"/>
      <c r="B57" s="7"/>
      <c r="C57" s="7"/>
      <c r="D57" s="7"/>
      <c r="E57" s="7"/>
      <c r="F57" s="7"/>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row>
    <row r="58" customFormat="false" ht="15" hidden="false" customHeight="true" outlineLevel="0" collapsed="false">
      <c r="A58" s="7"/>
      <c r="B58" s="7"/>
      <c r="C58" s="7"/>
      <c r="D58" s="7"/>
      <c r="E58" s="7"/>
      <c r="F58" s="7"/>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row>
    <row r="59" customFormat="false" ht="15" hidden="false" customHeight="true" outlineLevel="0" collapsed="false">
      <c r="A59" s="7"/>
      <c r="B59" s="7"/>
      <c r="C59" s="7"/>
      <c r="D59" s="7"/>
      <c r="E59" s="7"/>
      <c r="F59" s="7"/>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row>
    <row r="60" customFormat="false" ht="15" hidden="false" customHeight="true" outlineLevel="0" collapsed="false">
      <c r="A60" s="7"/>
      <c r="B60" s="7"/>
      <c r="C60" s="7"/>
      <c r="D60" s="7"/>
      <c r="E60" s="7"/>
      <c r="F60" s="7"/>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row>
    <row r="61" customFormat="false" ht="15" hidden="false" customHeight="true" outlineLevel="0" collapsed="false">
      <c r="A61" s="7"/>
      <c r="B61" s="7"/>
      <c r="C61" s="7"/>
      <c r="D61" s="7"/>
      <c r="E61" s="7"/>
      <c r="F61" s="7"/>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row>
    <row r="62" customFormat="false" ht="15" hidden="false" customHeight="true" outlineLevel="0" collapsed="false">
      <c r="A62" s="7"/>
      <c r="B62" s="7"/>
      <c r="C62" s="7"/>
      <c r="D62" s="7"/>
      <c r="E62" s="7"/>
      <c r="F62" s="7"/>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row>
    <row r="63" customFormat="false" ht="15" hidden="false" customHeight="true" outlineLevel="0" collapsed="false">
      <c r="A63" s="7"/>
      <c r="B63" s="7"/>
      <c r="C63" s="7"/>
      <c r="D63" s="7"/>
      <c r="E63" s="7"/>
      <c r="F63" s="7"/>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row>
    <row r="64" customFormat="false" ht="15" hidden="false" customHeight="true" outlineLevel="0" collapsed="false">
      <c r="A64" s="7"/>
      <c r="B64" s="7"/>
      <c r="C64" s="7"/>
      <c r="D64" s="7"/>
      <c r="E64" s="7"/>
      <c r="F64" s="7"/>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row>
    <row r="65" customFormat="false" ht="15" hidden="false" customHeight="true" outlineLevel="0" collapsed="false">
      <c r="A65" s="7"/>
      <c r="B65" s="7"/>
      <c r="C65" s="7"/>
      <c r="D65" s="7"/>
      <c r="E65" s="7"/>
      <c r="F65" s="7"/>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row>
    <row r="66" customFormat="false" ht="15" hidden="false" customHeight="true" outlineLevel="0" collapsed="false">
      <c r="A66" s="7"/>
      <c r="B66" s="7"/>
      <c r="C66" s="7"/>
      <c r="D66" s="7"/>
      <c r="E66" s="7"/>
      <c r="F66" s="7"/>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row>
    <row r="67" customFormat="false" ht="15" hidden="false" customHeight="true" outlineLevel="0" collapsed="false">
      <c r="A67" s="7"/>
      <c r="B67" s="7"/>
      <c r="C67" s="7"/>
      <c r="D67" s="7"/>
      <c r="E67" s="7"/>
      <c r="F67" s="7"/>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row>
    <row r="68" customFormat="false" ht="15" hidden="false" customHeight="true" outlineLevel="0" collapsed="false">
      <c r="A68" s="7"/>
      <c r="B68" s="7"/>
      <c r="C68" s="7"/>
      <c r="D68" s="7"/>
      <c r="E68" s="7"/>
      <c r="F68" s="7"/>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row>
    <row r="69" customFormat="false" ht="15" hidden="false" customHeight="true" outlineLevel="0" collapsed="false">
      <c r="A69" s="7"/>
      <c r="B69" s="7"/>
      <c r="C69" s="7"/>
      <c r="D69" s="7"/>
      <c r="E69" s="7"/>
      <c r="F69" s="7"/>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row>
    <row r="70" customFormat="false" ht="15" hidden="false" customHeight="true" outlineLevel="0" collapsed="false">
      <c r="A70" s="7"/>
      <c r="B70" s="7"/>
      <c r="C70" s="7"/>
      <c r="D70" s="7"/>
      <c r="E70" s="7"/>
      <c r="F70" s="7"/>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row>
    <row r="71" customFormat="false" ht="15" hidden="false" customHeight="true" outlineLevel="0" collapsed="false">
      <c r="A71" s="7"/>
      <c r="B71" s="7"/>
      <c r="C71" s="7"/>
      <c r="D71" s="7"/>
      <c r="E71" s="7"/>
      <c r="F71" s="7"/>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row>
    <row r="72" customFormat="false" ht="15" hidden="false" customHeight="true" outlineLevel="0" collapsed="false">
      <c r="A72" s="7"/>
      <c r="B72" s="7"/>
      <c r="C72" s="7"/>
      <c r="D72" s="7"/>
      <c r="E72" s="7"/>
      <c r="F72" s="7"/>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row>
    <row r="73" customFormat="false" ht="15" hidden="false" customHeight="true" outlineLevel="0" collapsed="false">
      <c r="A73" s="7"/>
      <c r="B73" s="7"/>
      <c r="C73" s="7"/>
      <c r="D73" s="7"/>
      <c r="E73" s="7"/>
      <c r="F73" s="7"/>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row>
    <row r="74" customFormat="false" ht="15" hidden="false" customHeight="true" outlineLevel="0" collapsed="false">
      <c r="A74" s="7"/>
      <c r="B74" s="7"/>
      <c r="C74" s="7"/>
      <c r="D74" s="7"/>
      <c r="E74" s="7"/>
      <c r="F74" s="7"/>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row>
    <row r="75" customFormat="false" ht="15" hidden="false" customHeight="true" outlineLevel="0" collapsed="false">
      <c r="A75" s="7"/>
      <c r="B75" s="7"/>
      <c r="C75" s="7"/>
      <c r="D75" s="7"/>
      <c r="E75" s="7"/>
      <c r="F75" s="7"/>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row>
    <row r="76" customFormat="false" ht="15" hidden="false" customHeight="true" outlineLevel="0" collapsed="false">
      <c r="A76" s="7"/>
      <c r="B76" s="7"/>
      <c r="C76" s="7"/>
      <c r="D76" s="7"/>
      <c r="E76" s="7"/>
      <c r="F76" s="7"/>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row>
    <row r="77" customFormat="false" ht="15" hidden="false" customHeight="true" outlineLevel="0" collapsed="false">
      <c r="A77" s="7"/>
      <c r="B77" s="7"/>
      <c r="C77" s="7"/>
      <c r="D77" s="7"/>
      <c r="E77" s="7"/>
      <c r="F77" s="7"/>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row>
    <row r="78" customFormat="false" ht="15" hidden="false" customHeight="true" outlineLevel="0" collapsed="false">
      <c r="A78" s="7"/>
      <c r="B78" s="7"/>
      <c r="C78" s="7"/>
      <c r="D78" s="7"/>
      <c r="E78" s="7"/>
      <c r="F78" s="7"/>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row>
    <row r="79" customFormat="false" ht="15" hidden="false" customHeight="true" outlineLevel="0" collapsed="false">
      <c r="A79" s="7"/>
      <c r="B79" s="7"/>
      <c r="C79" s="7"/>
      <c r="D79" s="7"/>
      <c r="E79" s="7"/>
      <c r="F79" s="7"/>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row>
    <row r="80" customFormat="false" ht="15" hidden="false" customHeight="true" outlineLevel="0" collapsed="false">
      <c r="A80" s="7"/>
      <c r="B80" s="7"/>
      <c r="C80" s="7"/>
      <c r="D80" s="7"/>
      <c r="E80" s="7"/>
      <c r="F80" s="7"/>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row>
    <row r="81" customFormat="false" ht="15" hidden="false" customHeight="true" outlineLevel="0" collapsed="false">
      <c r="A81" s="7"/>
      <c r="B81" s="7"/>
      <c r="C81" s="7"/>
      <c r="D81" s="7"/>
      <c r="E81" s="7"/>
      <c r="F81" s="7"/>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row>
    <row r="82" customFormat="false" ht="15" hidden="false" customHeight="true" outlineLevel="0" collapsed="false">
      <c r="A82" s="7"/>
      <c r="B82" s="7"/>
      <c r="C82" s="7"/>
      <c r="D82" s="7"/>
      <c r="E82" s="7"/>
      <c r="F82" s="7"/>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row>
    <row r="83" customFormat="false" ht="15" hidden="false" customHeight="true" outlineLevel="0" collapsed="false">
      <c r="A83" s="7"/>
      <c r="B83" s="7"/>
      <c r="C83" s="7"/>
      <c r="D83" s="7"/>
      <c r="E83" s="7"/>
      <c r="F83" s="7"/>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row>
    <row r="84" customFormat="false" ht="15" hidden="false" customHeight="true" outlineLevel="0" collapsed="false">
      <c r="A84" s="7"/>
      <c r="B84" s="7"/>
      <c r="C84" s="7"/>
      <c r="D84" s="7"/>
      <c r="E84" s="7"/>
      <c r="F84" s="7"/>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row>
    <row r="85" customFormat="false" ht="15" hidden="false" customHeight="true" outlineLevel="0" collapsed="false">
      <c r="A85" s="7"/>
      <c r="B85" s="7"/>
      <c r="C85" s="7"/>
      <c r="D85" s="7"/>
      <c r="E85" s="7"/>
      <c r="F85" s="7"/>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row>
    <row r="86" customFormat="false" ht="15" hidden="false" customHeight="true" outlineLevel="0" collapsed="false">
      <c r="A86" s="7"/>
      <c r="B86" s="7"/>
      <c r="C86" s="7"/>
      <c r="D86" s="7"/>
      <c r="E86" s="7"/>
      <c r="F86" s="7"/>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row>
    <row r="87" customFormat="false" ht="15" hidden="false" customHeight="true" outlineLevel="0" collapsed="false">
      <c r="A87" s="7"/>
      <c r="B87" s="7"/>
      <c r="C87" s="7"/>
      <c r="D87" s="7"/>
      <c r="E87" s="7"/>
      <c r="F87" s="7"/>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row>
    <row r="88" customFormat="false" ht="15" hidden="false" customHeight="true" outlineLevel="0" collapsed="false">
      <c r="A88" s="7"/>
      <c r="B88" s="7"/>
      <c r="C88" s="7"/>
      <c r="D88" s="7"/>
      <c r="E88" s="7"/>
      <c r="F88" s="7"/>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row>
    <row r="89" customFormat="false" ht="15" hidden="false" customHeight="true" outlineLevel="0" collapsed="false">
      <c r="A89" s="7"/>
      <c r="B89" s="7"/>
      <c r="C89" s="7"/>
      <c r="D89" s="7"/>
      <c r="E89" s="7"/>
      <c r="F89" s="7"/>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row>
    <row r="90" customFormat="false" ht="15" hidden="false" customHeight="true" outlineLevel="0" collapsed="false">
      <c r="A90" s="7"/>
      <c r="B90" s="7"/>
      <c r="C90" s="7"/>
      <c r="D90" s="7"/>
      <c r="E90" s="7"/>
      <c r="F90" s="7"/>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row>
    <row r="91" customFormat="false" ht="15" hidden="false" customHeight="true" outlineLevel="0" collapsed="false">
      <c r="A91" s="7"/>
      <c r="B91" s="7"/>
      <c r="C91" s="7"/>
      <c r="D91" s="7"/>
      <c r="E91" s="7"/>
      <c r="F91" s="7"/>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row>
    <row r="92" customFormat="false" ht="15" hidden="false" customHeight="true" outlineLevel="0" collapsed="false">
      <c r="A92" s="7"/>
      <c r="B92" s="7"/>
      <c r="C92" s="7"/>
      <c r="D92" s="7"/>
      <c r="E92" s="7"/>
      <c r="F92" s="7"/>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row>
    <row r="93" customFormat="false" ht="15" hidden="false" customHeight="true" outlineLevel="0" collapsed="false">
      <c r="A93" s="7"/>
      <c r="B93" s="7"/>
      <c r="C93" s="7"/>
      <c r="D93" s="7"/>
      <c r="E93" s="7"/>
      <c r="F93" s="7"/>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row>
    <row r="94" customFormat="false" ht="15" hidden="false" customHeight="true" outlineLevel="0" collapsed="false">
      <c r="A94" s="7"/>
      <c r="B94" s="7"/>
      <c r="C94" s="7"/>
      <c r="D94" s="7"/>
      <c r="E94" s="7"/>
      <c r="F94" s="7"/>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row>
    <row r="95" customFormat="false" ht="15" hidden="false" customHeight="true" outlineLevel="0" collapsed="false">
      <c r="A95" s="7"/>
      <c r="B95" s="7"/>
      <c r="C95" s="7"/>
      <c r="D95" s="7"/>
      <c r="E95" s="7"/>
      <c r="F95" s="7"/>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row>
    <row r="96" customFormat="false" ht="15" hidden="false" customHeight="true" outlineLevel="0" collapsed="false">
      <c r="A96" s="7"/>
      <c r="B96" s="7"/>
      <c r="C96" s="7"/>
      <c r="D96" s="7"/>
      <c r="E96" s="7"/>
      <c r="F96" s="7"/>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row>
    <row r="97" customFormat="false" ht="15" hidden="false" customHeight="true" outlineLevel="0" collapsed="false">
      <c r="A97" s="7"/>
      <c r="B97" s="7"/>
      <c r="C97" s="7"/>
      <c r="D97" s="7"/>
      <c r="E97" s="7"/>
      <c r="F97" s="7"/>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row>
    <row r="98" customFormat="false" ht="15" hidden="false" customHeight="true" outlineLevel="0" collapsed="false">
      <c r="A98" s="7"/>
      <c r="B98" s="7"/>
      <c r="C98" s="7"/>
      <c r="D98" s="7"/>
      <c r="E98" s="7"/>
      <c r="F98" s="7"/>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row>
    <row r="99" customFormat="false" ht="15" hidden="false" customHeight="true" outlineLevel="0" collapsed="false">
      <c r="A99" s="7"/>
      <c r="B99" s="7"/>
      <c r="C99" s="7"/>
      <c r="D99" s="7"/>
      <c r="E99" s="7"/>
      <c r="F99" s="7"/>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row>
    <row r="100" customFormat="false" ht="15" hidden="false" customHeight="true" outlineLevel="0" collapsed="false">
      <c r="A100" s="7"/>
      <c r="B100" s="7"/>
      <c r="C100" s="7"/>
      <c r="D100" s="7"/>
      <c r="E100" s="7"/>
      <c r="F100" s="7"/>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row>
    <row r="101" customFormat="false" ht="15" hidden="false" customHeight="true" outlineLevel="0" collapsed="false">
      <c r="A101" s="7"/>
      <c r="B101" s="7"/>
      <c r="C101" s="7"/>
      <c r="D101" s="7"/>
      <c r="E101" s="7"/>
      <c r="F101" s="7"/>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row>
    <row r="102" customFormat="false" ht="15" hidden="false" customHeight="true" outlineLevel="0" collapsed="false">
      <c r="A102" s="7"/>
      <c r="B102" s="7"/>
      <c r="C102" s="7"/>
      <c r="D102" s="7"/>
      <c r="E102" s="7"/>
      <c r="F102" s="7"/>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row>
    <row r="103" customFormat="false" ht="15" hidden="false" customHeight="true" outlineLevel="0" collapsed="false">
      <c r="A103" s="7"/>
      <c r="B103" s="7"/>
      <c r="C103" s="7"/>
      <c r="D103" s="7"/>
      <c r="E103" s="7"/>
      <c r="F103" s="7"/>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row>
    <row r="104" customFormat="false" ht="15" hidden="false" customHeight="true" outlineLevel="0" collapsed="false">
      <c r="A104" s="7"/>
      <c r="B104" s="7"/>
      <c r="C104" s="7"/>
      <c r="D104" s="7"/>
      <c r="E104" s="7"/>
      <c r="F104" s="7"/>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row>
    <row r="105" customFormat="false" ht="15" hidden="false" customHeight="true" outlineLevel="0" collapsed="false">
      <c r="A105" s="7"/>
      <c r="B105" s="7"/>
      <c r="C105" s="7"/>
      <c r="D105" s="7"/>
      <c r="E105" s="7"/>
      <c r="F105" s="7"/>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row>
    <row r="106" customFormat="false" ht="15" hidden="false" customHeight="true" outlineLevel="0" collapsed="false">
      <c r="A106" s="7"/>
      <c r="B106" s="7"/>
      <c r="C106" s="7"/>
      <c r="D106" s="7"/>
      <c r="E106" s="7"/>
      <c r="F106" s="7"/>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row>
    <row r="107" customFormat="false" ht="15" hidden="false" customHeight="true" outlineLevel="0" collapsed="false">
      <c r="A107" s="7"/>
      <c r="B107" s="7"/>
      <c r="C107" s="7"/>
      <c r="D107" s="7"/>
      <c r="E107" s="7"/>
      <c r="F107" s="7"/>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row>
    <row r="108" customFormat="false" ht="15" hidden="false" customHeight="true" outlineLevel="0" collapsed="false">
      <c r="A108" s="7"/>
      <c r="B108" s="7"/>
      <c r="C108" s="7"/>
      <c r="D108" s="7"/>
      <c r="E108" s="7"/>
      <c r="F108" s="7"/>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row>
    <row r="109" customFormat="false" ht="15" hidden="false" customHeight="true" outlineLevel="0" collapsed="false">
      <c r="A109" s="7"/>
      <c r="B109" s="7"/>
      <c r="C109" s="7"/>
      <c r="D109" s="7"/>
      <c r="E109" s="7"/>
      <c r="F109" s="7"/>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row>
    <row r="110" customFormat="false" ht="15" hidden="false" customHeight="true" outlineLevel="0" collapsed="false">
      <c r="A110" s="7"/>
      <c r="B110" s="7"/>
      <c r="C110" s="7"/>
      <c r="D110" s="7"/>
      <c r="E110" s="7"/>
      <c r="F110" s="7"/>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row>
    <row r="111" customFormat="false" ht="15" hidden="false" customHeight="true" outlineLevel="0" collapsed="false">
      <c r="A111" s="7"/>
      <c r="B111" s="7"/>
      <c r="C111" s="7"/>
      <c r="D111" s="7"/>
      <c r="E111" s="7"/>
      <c r="F111" s="7"/>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row>
    <row r="112" customFormat="false" ht="15" hidden="false" customHeight="true" outlineLevel="0" collapsed="false">
      <c r="A112" s="7"/>
      <c r="B112" s="7"/>
      <c r="C112" s="7"/>
      <c r="D112" s="7"/>
      <c r="E112" s="7"/>
      <c r="F112" s="7"/>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row>
    <row r="113" customFormat="false" ht="15" hidden="false" customHeight="true" outlineLevel="0" collapsed="false">
      <c r="A113" s="7"/>
      <c r="B113" s="7"/>
      <c r="C113" s="7"/>
      <c r="D113" s="7"/>
      <c r="E113" s="7"/>
      <c r="F113" s="7"/>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row>
    <row r="114" customFormat="false" ht="15" hidden="false" customHeight="true" outlineLevel="0" collapsed="false">
      <c r="A114" s="7"/>
      <c r="B114" s="7"/>
      <c r="C114" s="7"/>
      <c r="D114" s="7"/>
      <c r="E114" s="7"/>
      <c r="F114" s="7"/>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row>
    <row r="115" customFormat="false" ht="15" hidden="false" customHeight="true" outlineLevel="0" collapsed="false">
      <c r="A115" s="7"/>
      <c r="B115" s="7"/>
      <c r="C115" s="7"/>
      <c r="D115" s="7"/>
      <c r="E115" s="7"/>
      <c r="F115" s="7"/>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row>
    <row r="116" customFormat="false" ht="15" hidden="false" customHeight="true" outlineLevel="0" collapsed="false">
      <c r="A116" s="7"/>
      <c r="B116" s="7"/>
      <c r="C116" s="7"/>
      <c r="D116" s="7"/>
      <c r="E116" s="7"/>
      <c r="F116" s="7"/>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row>
    <row r="117" customFormat="false" ht="15" hidden="false" customHeight="true" outlineLevel="0" collapsed="false">
      <c r="A117" s="7"/>
      <c r="B117" s="7"/>
      <c r="C117" s="7"/>
      <c r="D117" s="7"/>
      <c r="E117" s="7"/>
      <c r="F117" s="7"/>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row>
    <row r="118" customFormat="false" ht="15" hidden="false" customHeight="true" outlineLevel="0" collapsed="false">
      <c r="A118" s="7"/>
      <c r="B118" s="7"/>
      <c r="C118" s="7"/>
      <c r="D118" s="7"/>
      <c r="E118" s="7"/>
      <c r="F118" s="7"/>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row>
    <row r="119" customFormat="false" ht="15" hidden="false" customHeight="true" outlineLevel="0" collapsed="false">
      <c r="A119" s="7"/>
      <c r="B119" s="7"/>
      <c r="C119" s="7"/>
      <c r="D119" s="7"/>
      <c r="E119" s="7"/>
      <c r="F119" s="7"/>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row>
    <row r="120" customFormat="false" ht="15" hidden="false" customHeight="true" outlineLevel="0" collapsed="false">
      <c r="A120" s="7"/>
      <c r="B120" s="7"/>
      <c r="C120" s="7"/>
      <c r="D120" s="7"/>
      <c r="E120" s="7"/>
      <c r="F120" s="7"/>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row>
    <row r="121" customFormat="false" ht="15" hidden="false" customHeight="true" outlineLevel="0" collapsed="false">
      <c r="A121" s="7"/>
      <c r="B121" s="7"/>
      <c r="C121" s="7"/>
      <c r="D121" s="7"/>
      <c r="E121" s="7"/>
      <c r="F121" s="7"/>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row>
    <row r="122" customFormat="false" ht="15" hidden="false" customHeight="true" outlineLevel="0" collapsed="false">
      <c r="A122" s="7"/>
      <c r="B122" s="7"/>
      <c r="C122" s="7"/>
      <c r="D122" s="7"/>
      <c r="E122" s="7"/>
      <c r="F122" s="7"/>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row>
    <row r="123" customFormat="false" ht="15" hidden="false" customHeight="true" outlineLevel="0" collapsed="false">
      <c r="A123" s="7"/>
      <c r="B123" s="7"/>
      <c r="C123" s="7"/>
      <c r="D123" s="7"/>
      <c r="E123" s="7"/>
      <c r="F123" s="7"/>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row>
    <row r="124" customFormat="false" ht="15" hidden="false" customHeight="true" outlineLevel="0" collapsed="false">
      <c r="A124" s="7"/>
      <c r="B124" s="7"/>
      <c r="C124" s="7"/>
      <c r="D124" s="7"/>
      <c r="E124" s="7"/>
      <c r="F124" s="7"/>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row>
    <row r="125" customFormat="false" ht="15" hidden="false" customHeight="true" outlineLevel="0" collapsed="false">
      <c r="A125" s="7"/>
      <c r="B125" s="7"/>
      <c r="C125" s="7"/>
      <c r="D125" s="7"/>
      <c r="E125" s="7"/>
      <c r="F125" s="7"/>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row>
    <row r="126" customFormat="false" ht="15" hidden="false" customHeight="true" outlineLevel="0" collapsed="false">
      <c r="A126" s="7"/>
      <c r="B126" s="7"/>
      <c r="C126" s="7"/>
      <c r="D126" s="7"/>
      <c r="E126" s="7"/>
      <c r="F126" s="7"/>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row>
    <row r="127" customFormat="false" ht="15" hidden="false" customHeight="true" outlineLevel="0" collapsed="false">
      <c r="A127" s="7"/>
      <c r="B127" s="7"/>
      <c r="C127" s="7"/>
      <c r="D127" s="7"/>
      <c r="E127" s="7"/>
      <c r="F127" s="7"/>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row>
    <row r="128" customFormat="false" ht="15" hidden="false" customHeight="true" outlineLevel="0" collapsed="false">
      <c r="A128" s="7"/>
      <c r="B128" s="7"/>
      <c r="C128" s="7"/>
      <c r="D128" s="7"/>
      <c r="E128" s="7"/>
      <c r="F128" s="7"/>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row>
    <row r="129" customFormat="false" ht="15" hidden="false" customHeight="true" outlineLevel="0" collapsed="false">
      <c r="A129" s="7"/>
      <c r="B129" s="7"/>
      <c r="C129" s="7"/>
      <c r="D129" s="7"/>
      <c r="E129" s="7"/>
      <c r="F129" s="7"/>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row>
    <row r="130" customFormat="false" ht="15" hidden="false" customHeight="true" outlineLevel="0" collapsed="false">
      <c r="A130" s="7"/>
      <c r="B130" s="7"/>
      <c r="C130" s="7"/>
      <c r="D130" s="7"/>
      <c r="E130" s="7"/>
      <c r="F130" s="7"/>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row>
    <row r="131" customFormat="false" ht="15" hidden="false" customHeight="true" outlineLevel="0" collapsed="false">
      <c r="A131" s="7"/>
      <c r="B131" s="7"/>
      <c r="C131" s="7"/>
      <c r="D131" s="7"/>
      <c r="E131" s="7"/>
      <c r="F131" s="7"/>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row>
    <row r="132" customFormat="false" ht="15" hidden="false" customHeight="true" outlineLevel="0" collapsed="false">
      <c r="A132" s="7"/>
      <c r="B132" s="7"/>
      <c r="C132" s="7"/>
      <c r="D132" s="7"/>
      <c r="E132" s="7"/>
      <c r="F132" s="7"/>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row>
    <row r="133" customFormat="false" ht="15" hidden="false" customHeight="true" outlineLevel="0" collapsed="false">
      <c r="A133" s="7"/>
      <c r="B133" s="7"/>
      <c r="C133" s="7"/>
      <c r="D133" s="7"/>
      <c r="E133" s="7"/>
      <c r="F133" s="7"/>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row>
    <row r="134" customFormat="false" ht="15" hidden="false" customHeight="true" outlineLevel="0" collapsed="false">
      <c r="A134" s="7"/>
      <c r="B134" s="7"/>
      <c r="C134" s="7"/>
      <c r="D134" s="7"/>
      <c r="E134" s="7"/>
      <c r="F134" s="7"/>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row>
    <row r="135" customFormat="false" ht="15" hidden="false" customHeight="true" outlineLevel="0" collapsed="false">
      <c r="A135" s="7"/>
      <c r="B135" s="7"/>
      <c r="C135" s="7"/>
      <c r="D135" s="7"/>
      <c r="E135" s="7"/>
      <c r="F135" s="7"/>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row>
    <row r="136" customFormat="false" ht="15" hidden="false" customHeight="true" outlineLevel="0" collapsed="false">
      <c r="A136" s="7"/>
      <c r="B136" s="7"/>
      <c r="C136" s="7"/>
      <c r="D136" s="7"/>
      <c r="E136" s="7"/>
      <c r="F136" s="7"/>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row>
    <row r="137" customFormat="false" ht="15" hidden="false" customHeight="true" outlineLevel="0" collapsed="false">
      <c r="A137" s="7"/>
      <c r="B137" s="7"/>
      <c r="C137" s="7"/>
      <c r="D137" s="7"/>
      <c r="E137" s="7"/>
      <c r="F137" s="7"/>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row>
    <row r="138" customFormat="false" ht="15" hidden="false" customHeight="true" outlineLevel="0" collapsed="false">
      <c r="A138" s="7"/>
      <c r="B138" s="7"/>
      <c r="C138" s="7"/>
      <c r="D138" s="7"/>
      <c r="E138" s="7"/>
      <c r="F138" s="7"/>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row>
    <row r="139" customFormat="false" ht="15" hidden="false" customHeight="true" outlineLevel="0" collapsed="false">
      <c r="A139" s="7"/>
      <c r="B139" s="7"/>
      <c r="C139" s="7"/>
      <c r="D139" s="7"/>
      <c r="E139" s="7"/>
      <c r="F139" s="7"/>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row>
    <row r="140" customFormat="false" ht="15" hidden="false" customHeight="true" outlineLevel="0" collapsed="false">
      <c r="A140" s="7"/>
      <c r="B140" s="7"/>
      <c r="C140" s="7"/>
      <c r="D140" s="7"/>
      <c r="E140" s="7"/>
      <c r="F140" s="7"/>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row>
    <row r="141" customFormat="false" ht="15" hidden="false" customHeight="true" outlineLevel="0" collapsed="false">
      <c r="A141" s="7"/>
      <c r="B141" s="7"/>
      <c r="C141" s="7"/>
      <c r="D141" s="7"/>
      <c r="E141" s="7"/>
      <c r="F141" s="7"/>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row>
    <row r="142" customFormat="false" ht="15" hidden="false" customHeight="true" outlineLevel="0" collapsed="false">
      <c r="A142" s="7"/>
      <c r="B142" s="7"/>
      <c r="C142" s="7"/>
      <c r="D142" s="7"/>
      <c r="E142" s="7"/>
      <c r="F142" s="7"/>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row>
    <row r="143" customFormat="false" ht="15" hidden="false" customHeight="true" outlineLevel="0" collapsed="false">
      <c r="A143" s="7"/>
      <c r="B143" s="7"/>
      <c r="C143" s="7"/>
      <c r="D143" s="7"/>
      <c r="E143" s="7"/>
      <c r="F143" s="7"/>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row>
    <row r="144" customFormat="false" ht="15" hidden="false" customHeight="true" outlineLevel="0" collapsed="false">
      <c r="A144" s="7"/>
      <c r="B144" s="7"/>
      <c r="C144" s="7"/>
      <c r="D144" s="7"/>
      <c r="E144" s="7"/>
      <c r="F144" s="7"/>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row>
    <row r="145" customFormat="false" ht="15" hidden="false" customHeight="true" outlineLevel="0" collapsed="false">
      <c r="A145" s="7"/>
      <c r="B145" s="7"/>
      <c r="C145" s="7"/>
      <c r="D145" s="7"/>
      <c r="E145" s="7"/>
      <c r="F145" s="7"/>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row>
    <row r="146" customFormat="false" ht="15" hidden="false" customHeight="true" outlineLevel="0" collapsed="false">
      <c r="A146" s="7"/>
      <c r="B146" s="7"/>
      <c r="C146" s="7"/>
      <c r="D146" s="7"/>
      <c r="E146" s="7"/>
      <c r="F146" s="7"/>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row>
    <row r="147" customFormat="false" ht="15" hidden="false" customHeight="true" outlineLevel="0" collapsed="false">
      <c r="A147" s="7"/>
      <c r="B147" s="7"/>
      <c r="C147" s="7"/>
      <c r="D147" s="7"/>
      <c r="E147" s="7"/>
      <c r="F147" s="7"/>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row>
    <row r="148" customFormat="false" ht="15" hidden="false" customHeight="true" outlineLevel="0" collapsed="false">
      <c r="A148" s="7"/>
      <c r="B148" s="7"/>
      <c r="C148" s="7"/>
      <c r="D148" s="7"/>
      <c r="E148" s="7"/>
      <c r="F148" s="7"/>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row>
    <row r="149" customFormat="false" ht="15" hidden="false" customHeight="true" outlineLevel="0" collapsed="false">
      <c r="A149" s="7"/>
      <c r="B149" s="7"/>
      <c r="C149" s="7"/>
      <c r="D149" s="7"/>
      <c r="E149" s="7"/>
      <c r="F149" s="7"/>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row>
    <row r="150" customFormat="false" ht="15" hidden="false" customHeight="true" outlineLevel="0" collapsed="false">
      <c r="A150" s="7"/>
      <c r="B150" s="7"/>
      <c r="C150" s="7"/>
      <c r="D150" s="7"/>
      <c r="E150" s="7"/>
      <c r="F150" s="7"/>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row>
    <row r="151" customFormat="false" ht="15" hidden="false" customHeight="true" outlineLevel="0" collapsed="false">
      <c r="A151" s="7"/>
      <c r="B151" s="7"/>
      <c r="C151" s="7"/>
      <c r="D151" s="7"/>
      <c r="E151" s="7"/>
      <c r="F151" s="7"/>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row>
    <row r="152" customFormat="false" ht="15" hidden="false" customHeight="true" outlineLevel="0" collapsed="false">
      <c r="A152" s="7"/>
      <c r="B152" s="7"/>
      <c r="C152" s="7"/>
      <c r="D152" s="7"/>
      <c r="E152" s="7"/>
      <c r="F152" s="7"/>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row>
    <row r="153" customFormat="false" ht="15" hidden="false" customHeight="true" outlineLevel="0" collapsed="false">
      <c r="A153" s="7"/>
      <c r="B153" s="7"/>
      <c r="C153" s="7"/>
      <c r="D153" s="7"/>
      <c r="E153" s="7"/>
      <c r="F153" s="7"/>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row>
    <row r="154" customFormat="false" ht="15" hidden="false" customHeight="true" outlineLevel="0" collapsed="false">
      <c r="A154" s="7"/>
      <c r="B154" s="7"/>
      <c r="C154" s="7"/>
      <c r="D154" s="7"/>
      <c r="E154" s="7"/>
      <c r="F154" s="7"/>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row>
    <row r="155" customFormat="false" ht="15" hidden="false" customHeight="true" outlineLevel="0" collapsed="false">
      <c r="A155" s="7"/>
      <c r="B155" s="7"/>
      <c r="C155" s="7"/>
      <c r="D155" s="7"/>
      <c r="E155" s="7"/>
      <c r="F155" s="7"/>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row>
    <row r="156" customFormat="false" ht="15" hidden="false" customHeight="true" outlineLevel="0" collapsed="false">
      <c r="A156" s="7"/>
      <c r="B156" s="7"/>
      <c r="C156" s="7"/>
      <c r="D156" s="7"/>
      <c r="E156" s="7"/>
      <c r="F156" s="7"/>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row>
    <row r="157" customFormat="false" ht="15" hidden="false" customHeight="true" outlineLevel="0" collapsed="false">
      <c r="A157" s="7"/>
      <c r="B157" s="7"/>
      <c r="C157" s="7"/>
      <c r="D157" s="7"/>
      <c r="E157" s="7"/>
      <c r="F157" s="7"/>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row>
    <row r="158" customFormat="false" ht="15" hidden="false" customHeight="true" outlineLevel="0" collapsed="false">
      <c r="A158" s="7"/>
      <c r="B158" s="7"/>
      <c r="C158" s="7"/>
      <c r="D158" s="7"/>
      <c r="E158" s="7"/>
      <c r="F158" s="7"/>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row>
    <row r="159" customFormat="false" ht="15" hidden="false" customHeight="true" outlineLevel="0" collapsed="false">
      <c r="A159" s="7"/>
      <c r="B159" s="7"/>
      <c r="C159" s="7"/>
      <c r="D159" s="7"/>
      <c r="E159" s="7"/>
      <c r="F159" s="7"/>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row>
    <row r="160" customFormat="false" ht="15" hidden="false" customHeight="true" outlineLevel="0" collapsed="false">
      <c r="A160" s="7"/>
      <c r="B160" s="7"/>
      <c r="C160" s="7"/>
      <c r="D160" s="7"/>
      <c r="E160" s="7"/>
      <c r="F160" s="7"/>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row>
    <row r="161" customFormat="false" ht="15" hidden="false" customHeight="true" outlineLevel="0" collapsed="false">
      <c r="A161" s="7"/>
      <c r="B161" s="7"/>
      <c r="C161" s="7"/>
      <c r="D161" s="7"/>
      <c r="E161" s="7"/>
      <c r="F161" s="7"/>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row>
    <row r="162" customFormat="false" ht="15" hidden="false" customHeight="true" outlineLevel="0" collapsed="false">
      <c r="A162" s="7"/>
      <c r="B162" s="7"/>
      <c r="C162" s="7"/>
      <c r="D162" s="7"/>
      <c r="E162" s="7"/>
      <c r="F162" s="7"/>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row>
    <row r="163" customFormat="false" ht="15" hidden="false" customHeight="true" outlineLevel="0" collapsed="false">
      <c r="A163" s="7"/>
      <c r="B163" s="7"/>
      <c r="C163" s="7"/>
      <c r="D163" s="7"/>
      <c r="E163" s="7"/>
      <c r="F163" s="7"/>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row>
    <row r="164" customFormat="false" ht="15" hidden="false" customHeight="true" outlineLevel="0" collapsed="false">
      <c r="A164" s="7"/>
      <c r="B164" s="7"/>
      <c r="C164" s="7"/>
      <c r="D164" s="7"/>
      <c r="E164" s="7"/>
      <c r="F164" s="7"/>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row>
    <row r="165" customFormat="false" ht="15" hidden="false" customHeight="true" outlineLevel="0" collapsed="false">
      <c r="A165" s="7"/>
      <c r="B165" s="7"/>
      <c r="C165" s="7"/>
      <c r="D165" s="7"/>
      <c r="E165" s="7"/>
      <c r="F165" s="7"/>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row>
    <row r="166" customFormat="false" ht="15" hidden="false" customHeight="true" outlineLevel="0" collapsed="false">
      <c r="A166" s="7"/>
      <c r="B166" s="7"/>
      <c r="C166" s="7"/>
      <c r="D166" s="7"/>
      <c r="E166" s="7"/>
      <c r="F166" s="7"/>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row>
    <row r="167" customFormat="false" ht="15" hidden="false" customHeight="true" outlineLevel="0" collapsed="false">
      <c r="A167" s="7"/>
      <c r="B167" s="7"/>
      <c r="C167" s="7"/>
      <c r="D167" s="7"/>
      <c r="E167" s="7"/>
      <c r="F167" s="7"/>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row>
    <row r="168" customFormat="false" ht="15" hidden="false" customHeight="true" outlineLevel="0" collapsed="false">
      <c r="A168" s="7"/>
      <c r="B168" s="7"/>
      <c r="C168" s="7"/>
      <c r="D168" s="7"/>
      <c r="E168" s="7"/>
      <c r="F168" s="7"/>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row>
    <row r="169" customFormat="false" ht="15" hidden="false" customHeight="true" outlineLevel="0" collapsed="false">
      <c r="A169" s="7"/>
      <c r="B169" s="7"/>
      <c r="C169" s="7"/>
      <c r="D169" s="7"/>
      <c r="E169" s="7"/>
      <c r="F169" s="7"/>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row>
    <row r="170" customFormat="false" ht="15" hidden="false" customHeight="true" outlineLevel="0" collapsed="false">
      <c r="A170" s="7"/>
      <c r="B170" s="7"/>
      <c r="C170" s="7"/>
      <c r="D170" s="7"/>
      <c r="E170" s="7"/>
      <c r="F170" s="7"/>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row>
    <row r="171" customFormat="false" ht="15" hidden="false" customHeight="true" outlineLevel="0" collapsed="false">
      <c r="A171" s="7"/>
      <c r="B171" s="7"/>
      <c r="C171" s="7"/>
      <c r="D171" s="7"/>
      <c r="E171" s="7"/>
      <c r="F171" s="7"/>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row>
    <row r="172" customFormat="false" ht="15" hidden="false" customHeight="true" outlineLevel="0" collapsed="false">
      <c r="A172" s="7"/>
      <c r="B172" s="7"/>
      <c r="C172" s="7"/>
      <c r="D172" s="7"/>
      <c r="E172" s="7"/>
      <c r="F172" s="7"/>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row>
    <row r="173" customFormat="false" ht="15" hidden="false" customHeight="true" outlineLevel="0" collapsed="false">
      <c r="A173" s="7"/>
      <c r="B173" s="7"/>
      <c r="C173" s="7"/>
      <c r="D173" s="7"/>
      <c r="E173" s="7"/>
      <c r="F173" s="7"/>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row>
    <row r="174" customFormat="false" ht="15" hidden="false" customHeight="true" outlineLevel="0" collapsed="false">
      <c r="A174" s="7"/>
      <c r="B174" s="7"/>
      <c r="C174" s="7"/>
      <c r="D174" s="7"/>
      <c r="E174" s="7"/>
      <c r="F174" s="7"/>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row>
    <row r="175" customFormat="false" ht="15" hidden="false" customHeight="true" outlineLevel="0" collapsed="false">
      <c r="A175" s="7"/>
      <c r="B175" s="7"/>
      <c r="C175" s="7"/>
      <c r="D175" s="7"/>
      <c r="E175" s="7"/>
      <c r="F175" s="7"/>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row>
    <row r="176" customFormat="false" ht="15" hidden="false" customHeight="true" outlineLevel="0" collapsed="false">
      <c r="A176" s="7"/>
      <c r="B176" s="7"/>
      <c r="C176" s="7"/>
      <c r="D176" s="7"/>
      <c r="E176" s="7"/>
      <c r="F176" s="7"/>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row>
    <row r="177" customFormat="false" ht="15" hidden="false" customHeight="true" outlineLevel="0" collapsed="false">
      <c r="A177" s="7"/>
      <c r="B177" s="7"/>
      <c r="C177" s="7"/>
      <c r="D177" s="7"/>
      <c r="E177" s="7"/>
      <c r="F177" s="7"/>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row>
    <row r="178" customFormat="false" ht="15" hidden="false" customHeight="true" outlineLevel="0" collapsed="false">
      <c r="A178" s="7"/>
      <c r="B178" s="7"/>
      <c r="C178" s="7"/>
      <c r="D178" s="7"/>
      <c r="E178" s="7"/>
      <c r="F178" s="7"/>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row>
    <row r="179" customFormat="false" ht="15" hidden="false" customHeight="true" outlineLevel="0" collapsed="false">
      <c r="A179" s="7"/>
      <c r="B179" s="7"/>
      <c r="C179" s="7"/>
      <c r="D179" s="7"/>
      <c r="E179" s="7"/>
      <c r="F179" s="7"/>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row>
    <row r="180" customFormat="false" ht="15" hidden="false" customHeight="true" outlineLevel="0" collapsed="false">
      <c r="A180" s="7"/>
      <c r="B180" s="7"/>
      <c r="C180" s="7"/>
      <c r="D180" s="7"/>
      <c r="E180" s="7"/>
      <c r="F180" s="7"/>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row>
    <row r="181" customFormat="false" ht="15" hidden="false" customHeight="true" outlineLevel="0" collapsed="false">
      <c r="A181" s="7"/>
      <c r="B181" s="7"/>
      <c r="C181" s="7"/>
      <c r="D181" s="7"/>
      <c r="E181" s="7"/>
      <c r="F181" s="7"/>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row>
    <row r="182" customFormat="false" ht="15" hidden="false" customHeight="true" outlineLevel="0" collapsed="false">
      <c r="A182" s="7"/>
      <c r="B182" s="7"/>
      <c r="C182" s="7"/>
      <c r="D182" s="7"/>
      <c r="E182" s="7"/>
      <c r="F182" s="7"/>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row>
    <row r="183" customFormat="false" ht="15" hidden="false" customHeight="true" outlineLevel="0" collapsed="false">
      <c r="A183" s="7"/>
      <c r="B183" s="7"/>
      <c r="C183" s="7"/>
      <c r="D183" s="7"/>
      <c r="E183" s="7"/>
      <c r="F183" s="7"/>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row>
    <row r="184" customFormat="false" ht="15" hidden="false" customHeight="true" outlineLevel="0" collapsed="false">
      <c r="A184" s="7"/>
      <c r="B184" s="7"/>
      <c r="C184" s="7"/>
      <c r="D184" s="7"/>
      <c r="E184" s="7"/>
      <c r="F184" s="7"/>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row>
    <row r="185" customFormat="false" ht="15" hidden="false" customHeight="true" outlineLevel="0" collapsed="false">
      <c r="A185" s="7"/>
      <c r="B185" s="7"/>
      <c r="C185" s="7"/>
      <c r="D185" s="7"/>
      <c r="E185" s="7"/>
      <c r="F185" s="7"/>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row>
    <row r="186" customFormat="false" ht="15" hidden="false" customHeight="true" outlineLevel="0" collapsed="false">
      <c r="A186" s="7"/>
      <c r="B186" s="7"/>
      <c r="C186" s="7"/>
      <c r="D186" s="7"/>
      <c r="E186" s="7"/>
      <c r="F186" s="7"/>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row>
    <row r="187" customFormat="false" ht="15" hidden="false" customHeight="true" outlineLevel="0" collapsed="false">
      <c r="A187" s="7"/>
      <c r="B187" s="7"/>
      <c r="C187" s="7"/>
      <c r="D187" s="7"/>
      <c r="E187" s="7"/>
      <c r="F187" s="7"/>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row>
    <row r="188" customFormat="false" ht="15" hidden="false" customHeight="true" outlineLevel="0" collapsed="false">
      <c r="A188" s="7"/>
      <c r="B188" s="7"/>
      <c r="C188" s="7"/>
      <c r="D188" s="7"/>
      <c r="E188" s="7"/>
      <c r="F188" s="7"/>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row>
    <row r="189" customFormat="false" ht="15" hidden="false" customHeight="true" outlineLevel="0" collapsed="false">
      <c r="A189" s="7"/>
      <c r="B189" s="7"/>
      <c r="C189" s="7"/>
      <c r="D189" s="7"/>
      <c r="E189" s="7"/>
      <c r="F189" s="7"/>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row>
    <row r="190" customFormat="false" ht="15" hidden="false" customHeight="true" outlineLevel="0" collapsed="false">
      <c r="A190" s="7"/>
      <c r="B190" s="7"/>
      <c r="C190" s="7"/>
      <c r="D190" s="7"/>
      <c r="E190" s="7"/>
      <c r="F190" s="7"/>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row>
    <row r="191" customFormat="false" ht="15" hidden="false" customHeight="true" outlineLevel="0" collapsed="false">
      <c r="A191" s="7"/>
      <c r="B191" s="7"/>
      <c r="C191" s="7"/>
      <c r="D191" s="7"/>
      <c r="E191" s="7"/>
      <c r="F191" s="7"/>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row>
    <row r="192" customFormat="false" ht="15" hidden="false" customHeight="true" outlineLevel="0" collapsed="false">
      <c r="A192" s="7"/>
      <c r="B192" s="7"/>
      <c r="C192" s="7"/>
      <c r="D192" s="7"/>
      <c r="E192" s="7"/>
      <c r="F192" s="7"/>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row>
    <row r="193" customFormat="false" ht="15" hidden="false" customHeight="true" outlineLevel="0" collapsed="false">
      <c r="A193" s="7"/>
      <c r="B193" s="7"/>
      <c r="C193" s="7"/>
      <c r="D193" s="7"/>
      <c r="E193" s="7"/>
      <c r="F193" s="7"/>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row>
    <row r="194" customFormat="false" ht="15" hidden="false" customHeight="true" outlineLevel="0" collapsed="false">
      <c r="A194" s="7"/>
      <c r="B194" s="7"/>
      <c r="C194" s="7"/>
      <c r="D194" s="7"/>
      <c r="E194" s="7"/>
      <c r="F194" s="7"/>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row>
    <row r="195" customFormat="false" ht="15" hidden="false" customHeight="true" outlineLevel="0" collapsed="false">
      <c r="A195" s="7"/>
      <c r="B195" s="7"/>
      <c r="C195" s="7"/>
      <c r="D195" s="7"/>
      <c r="E195" s="7"/>
      <c r="F195" s="7"/>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row>
    <row r="196" customFormat="false" ht="15" hidden="false" customHeight="true" outlineLevel="0" collapsed="false">
      <c r="A196" s="7"/>
      <c r="B196" s="7"/>
      <c r="C196" s="7"/>
      <c r="D196" s="7"/>
      <c r="E196" s="7"/>
      <c r="F196" s="7"/>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row>
    <row r="197" customFormat="false" ht="15" hidden="false" customHeight="true" outlineLevel="0" collapsed="false">
      <c r="A197" s="7"/>
      <c r="B197" s="7"/>
      <c r="C197" s="7"/>
      <c r="D197" s="7"/>
      <c r="E197" s="7"/>
      <c r="F197" s="7"/>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row>
    <row r="198" customFormat="false" ht="15" hidden="false" customHeight="true" outlineLevel="0" collapsed="false">
      <c r="A198" s="7"/>
      <c r="B198" s="7"/>
      <c r="C198" s="7"/>
      <c r="D198" s="7"/>
      <c r="E198" s="7"/>
      <c r="F198" s="7"/>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row>
    <row r="199" customFormat="false" ht="15" hidden="false" customHeight="true" outlineLevel="0" collapsed="false">
      <c r="A199" s="7"/>
      <c r="B199" s="7"/>
      <c r="C199" s="7"/>
      <c r="D199" s="7"/>
      <c r="E199" s="7"/>
      <c r="F199" s="7"/>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row>
    <row r="200" customFormat="false" ht="15" hidden="false" customHeight="true" outlineLevel="0" collapsed="false">
      <c r="A200" s="7"/>
      <c r="B200" s="7"/>
      <c r="C200" s="7"/>
      <c r="D200" s="7"/>
      <c r="E200" s="7"/>
      <c r="F200" s="7"/>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9.25"/>
    <col collapsed="false" customWidth="true" hidden="false" outlineLevel="0" max="2" min="2" style="1" width="126.25"/>
  </cols>
  <sheetData>
    <row r="1" customFormat="false" ht="30" hidden="false" customHeight="true" outlineLevel="0" collapsed="false">
      <c r="A1" s="2" t="s">
        <v>0</v>
      </c>
      <c r="B1" s="2"/>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row>
    <row r="2" customFormat="false" ht="16.5" hidden="false" customHeight="true" outlineLevel="0" collapsed="false">
      <c r="A2" s="31" t="s">
        <v>467</v>
      </c>
      <c r="B2" s="32" t="n">
        <v>46210</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row>
    <row r="3" customFormat="false" ht="16.5" hidden="false" customHeight="true" outlineLevel="0" collapsed="false">
      <c r="A3" s="31" t="s">
        <v>468</v>
      </c>
      <c r="B3" s="9" t="s">
        <v>469</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row>
    <row r="4" customFormat="false" ht="32.25" hidden="false" customHeight="true" outlineLevel="0" collapsed="false">
      <c r="A4" s="4" t="s">
        <v>470</v>
      </c>
      <c r="B4" s="9" t="s">
        <v>471</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row>
    <row r="5" customFormat="false" ht="32.25" hidden="false" customHeight="true" outlineLevel="0" collapsed="false">
      <c r="A5" s="31" t="s">
        <v>472</v>
      </c>
      <c r="B5" s="7" t="s">
        <v>473</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row>
    <row r="6" customFormat="false" ht="16.5" hidden="false" customHeight="true" outlineLevel="0" collapsed="false">
      <c r="A6" s="4" t="s">
        <v>474</v>
      </c>
      <c r="B6" s="7" t="s">
        <v>475</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row>
    <row r="7" customFormat="false" ht="32.25" hidden="false" customHeight="true" outlineLevel="0" collapsed="false">
      <c r="A7" s="9" t="s">
        <v>476</v>
      </c>
      <c r="B7" s="9" t="s">
        <v>477</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row>
    <row r="8" customFormat="false" ht="16.5" hidden="false" customHeight="true" outlineLevel="0" collapsed="false">
      <c r="A8" s="9" t="s">
        <v>478</v>
      </c>
      <c r="B8" s="7" t="s">
        <v>479</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row>
    <row r="9" customFormat="false" ht="16.5" hidden="false" customHeight="true" outlineLevel="0" collapsed="false">
      <c r="A9" s="9" t="s">
        <v>480</v>
      </c>
      <c r="B9" s="7" t="s">
        <v>481</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row>
    <row r="10" customFormat="false" ht="32.25" hidden="false" customHeight="true" outlineLevel="0" collapsed="false">
      <c r="A10" s="7" t="s">
        <v>482</v>
      </c>
      <c r="B10" s="9" t="s">
        <v>483</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row>
    <row r="11" customFormat="false" ht="15" hidden="false" customHeight="true" outlineLevel="0" collapsed="false">
      <c r="A11" s="7" t="s">
        <v>484</v>
      </c>
      <c r="B11" s="7" t="s">
        <v>485</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row>
    <row r="12" customFormat="false" ht="15" hidden="false" customHeight="true" outlineLevel="0" collapsed="false">
      <c r="A12" s="7"/>
      <c r="B12" s="7"/>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row>
    <row r="13" customFormat="false" ht="15" hidden="false" customHeight="true" outlineLevel="0" collapsed="false">
      <c r="A13" s="7"/>
      <c r="B13" s="7"/>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row>
    <row r="14" customFormat="false" ht="15" hidden="false" customHeight="true" outlineLevel="0" collapsed="false">
      <c r="A14" s="7"/>
      <c r="B14" s="7"/>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row>
    <row r="15" customFormat="false" ht="15" hidden="false" customHeight="true" outlineLevel="0" collapsed="false">
      <c r="A15" s="7"/>
      <c r="B15" s="7"/>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row>
    <row r="16" customFormat="false" ht="15" hidden="false" customHeight="true" outlineLevel="0" collapsed="false">
      <c r="A16" s="7"/>
      <c r="B16" s="7"/>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row>
    <row r="17" customFormat="false" ht="15" hidden="false" customHeight="true" outlineLevel="0" collapsed="false">
      <c r="A17" s="7"/>
      <c r="B17" s="7"/>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row>
    <row r="18" customFormat="false" ht="15" hidden="false" customHeight="true" outlineLevel="0" collapsed="false">
      <c r="A18" s="7"/>
      <c r="B18" s="7"/>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row>
    <row r="19" customFormat="false" ht="15" hidden="false" customHeight="true" outlineLevel="0" collapsed="false">
      <c r="A19" s="7"/>
      <c r="B19" s="7"/>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row>
    <row r="20" customFormat="false" ht="15" hidden="false" customHeight="true" outlineLevel="0" collapsed="false">
      <c r="A20" s="7"/>
      <c r="B20" s="7"/>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row>
    <row r="21" customFormat="false" ht="15" hidden="false" customHeight="true" outlineLevel="0" collapsed="false">
      <c r="A21" s="7"/>
      <c r="B21" s="7"/>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row>
    <row r="22" customFormat="false" ht="15" hidden="false" customHeight="true" outlineLevel="0" collapsed="false">
      <c r="A22" s="7"/>
      <c r="B22" s="7"/>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row>
    <row r="23" customFormat="false" ht="15" hidden="false" customHeight="true" outlineLevel="0" collapsed="false">
      <c r="A23" s="7"/>
      <c r="B23" s="7"/>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row>
    <row r="24" customFormat="false" ht="15" hidden="false" customHeight="true" outlineLevel="0" collapsed="false">
      <c r="A24" s="7"/>
      <c r="B24" s="7"/>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row>
    <row r="25" customFormat="false" ht="15" hidden="false" customHeight="true" outlineLevel="0" collapsed="false">
      <c r="A25" s="7"/>
      <c r="B25" s="7"/>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row>
    <row r="26" customFormat="false" ht="15" hidden="false" customHeight="true" outlineLevel="0" collapsed="false">
      <c r="A26" s="7"/>
      <c r="B26" s="7"/>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row>
    <row r="27" customFormat="false" ht="15" hidden="false" customHeight="true" outlineLevel="0" collapsed="false">
      <c r="A27" s="7"/>
      <c r="B27" s="7"/>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row>
    <row r="28" customFormat="false" ht="15" hidden="false" customHeight="true" outlineLevel="0" collapsed="false">
      <c r="A28" s="7"/>
      <c r="B28" s="7"/>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row>
    <row r="29" customFormat="false" ht="15" hidden="false" customHeight="true" outlineLevel="0" collapsed="false">
      <c r="A29" s="7"/>
      <c r="B29" s="7"/>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row>
    <row r="30" customFormat="false" ht="15" hidden="false" customHeight="true" outlineLevel="0" collapsed="false">
      <c r="A30" s="7"/>
      <c r="B30" s="7"/>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row>
    <row r="31" customFormat="false" ht="15" hidden="false" customHeight="true" outlineLevel="0" collapsed="false">
      <c r="A31" s="7"/>
      <c r="B31" s="7"/>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row>
    <row r="32" customFormat="false" ht="15" hidden="false" customHeight="true" outlineLevel="0" collapsed="false">
      <c r="A32" s="7"/>
      <c r="B32" s="7"/>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row>
    <row r="33" customFormat="false" ht="15" hidden="false" customHeight="true" outlineLevel="0" collapsed="false">
      <c r="A33" s="7"/>
      <c r="B33" s="7"/>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row>
    <row r="34" customFormat="false" ht="15" hidden="false" customHeight="true" outlineLevel="0" collapsed="false">
      <c r="A34" s="7"/>
      <c r="B34" s="7"/>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row>
    <row r="35" customFormat="false" ht="15" hidden="false" customHeight="true" outlineLevel="0" collapsed="false">
      <c r="A35" s="7"/>
      <c r="B35" s="7"/>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row>
    <row r="36" customFormat="false" ht="15" hidden="false" customHeight="true" outlineLevel="0" collapsed="false">
      <c r="A36" s="7"/>
      <c r="B36" s="7"/>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row>
    <row r="37" customFormat="false" ht="15" hidden="false" customHeight="true" outlineLevel="0" collapsed="false">
      <c r="A37" s="7"/>
      <c r="B37" s="7"/>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row>
    <row r="38" customFormat="false" ht="15" hidden="false" customHeight="true" outlineLevel="0" collapsed="false">
      <c r="A38" s="7"/>
      <c r="B38" s="7"/>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row>
    <row r="39" customFormat="false" ht="15" hidden="false" customHeight="true" outlineLevel="0" collapsed="false">
      <c r="A39" s="7"/>
      <c r="B39" s="7"/>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row>
    <row r="40" customFormat="false" ht="15" hidden="false" customHeight="true" outlineLevel="0" collapsed="false">
      <c r="A40" s="7"/>
      <c r="B40" s="7"/>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row>
    <row r="41" customFormat="false" ht="15" hidden="false" customHeight="true" outlineLevel="0" collapsed="false">
      <c r="A41" s="7"/>
      <c r="B41" s="7"/>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row>
    <row r="42" customFormat="false" ht="15" hidden="false" customHeight="true" outlineLevel="0" collapsed="false">
      <c r="A42" s="7"/>
      <c r="B42" s="7"/>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row>
    <row r="43" customFormat="false" ht="15" hidden="false" customHeight="true" outlineLevel="0" collapsed="false">
      <c r="A43" s="7"/>
      <c r="B43" s="7"/>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row>
    <row r="44" customFormat="false" ht="15" hidden="false" customHeight="true" outlineLevel="0" collapsed="false">
      <c r="A44" s="7"/>
      <c r="B44" s="7"/>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row>
    <row r="45" customFormat="false" ht="15" hidden="false" customHeight="true" outlineLevel="0" collapsed="false">
      <c r="A45" s="7"/>
      <c r="B45" s="7"/>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row>
    <row r="46" customFormat="false" ht="15" hidden="false" customHeight="true" outlineLevel="0" collapsed="false">
      <c r="A46" s="7"/>
      <c r="B46" s="7"/>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row>
    <row r="47" customFormat="false" ht="15" hidden="false" customHeight="true" outlineLevel="0" collapsed="false">
      <c r="A47" s="7"/>
      <c r="B47" s="7"/>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row>
    <row r="48" customFormat="false" ht="15" hidden="false" customHeight="true" outlineLevel="0" collapsed="false">
      <c r="A48" s="7"/>
      <c r="B48" s="7"/>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row>
    <row r="49" customFormat="false" ht="15" hidden="false" customHeight="true" outlineLevel="0" collapsed="false">
      <c r="A49" s="7"/>
      <c r="B49" s="7"/>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row>
    <row r="50" customFormat="false" ht="15" hidden="false" customHeight="true" outlineLevel="0" collapsed="false">
      <c r="A50" s="7"/>
      <c r="B50" s="7"/>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row>
    <row r="51" customFormat="false" ht="15" hidden="false" customHeight="true" outlineLevel="0" collapsed="false">
      <c r="A51" s="7"/>
      <c r="B51" s="7"/>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row>
    <row r="52" customFormat="false" ht="15" hidden="false" customHeight="true" outlineLevel="0" collapsed="false">
      <c r="A52" s="7"/>
      <c r="B52" s="7"/>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row>
    <row r="53" customFormat="false" ht="15" hidden="false" customHeight="true" outlineLevel="0" collapsed="false">
      <c r="A53" s="7"/>
      <c r="B53" s="7"/>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row>
    <row r="54" customFormat="false" ht="15" hidden="false" customHeight="true" outlineLevel="0" collapsed="false">
      <c r="A54" s="7"/>
      <c r="B54" s="7"/>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row>
    <row r="55" customFormat="false" ht="15" hidden="false" customHeight="true" outlineLevel="0" collapsed="false">
      <c r="A55" s="7"/>
      <c r="B55" s="7"/>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row>
    <row r="56" customFormat="false" ht="15" hidden="false" customHeight="true" outlineLevel="0" collapsed="false">
      <c r="A56" s="7"/>
      <c r="B56" s="7"/>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row>
    <row r="57" customFormat="false" ht="15" hidden="false" customHeight="true" outlineLevel="0" collapsed="false">
      <c r="A57" s="7"/>
      <c r="B57" s="7"/>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row>
    <row r="58" customFormat="false" ht="15" hidden="false" customHeight="true" outlineLevel="0" collapsed="false">
      <c r="A58" s="7"/>
      <c r="B58" s="7"/>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row>
    <row r="59" customFormat="false" ht="15" hidden="false" customHeight="true" outlineLevel="0" collapsed="false">
      <c r="A59" s="7"/>
      <c r="B59" s="7"/>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row>
    <row r="60" customFormat="false" ht="15" hidden="false" customHeight="true" outlineLevel="0" collapsed="false">
      <c r="A60" s="7"/>
      <c r="B60" s="7"/>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row>
    <row r="61" customFormat="false" ht="15" hidden="false" customHeight="true" outlineLevel="0" collapsed="false">
      <c r="A61" s="7"/>
      <c r="B61" s="7"/>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row>
    <row r="62" customFormat="false" ht="15" hidden="false" customHeight="true" outlineLevel="0" collapsed="false">
      <c r="A62" s="7"/>
      <c r="B62" s="7"/>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row>
    <row r="63" customFormat="false" ht="15" hidden="false" customHeight="true" outlineLevel="0" collapsed="false">
      <c r="A63" s="7"/>
      <c r="B63" s="7"/>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row>
    <row r="64" customFormat="false" ht="15" hidden="false" customHeight="true" outlineLevel="0" collapsed="false">
      <c r="A64" s="7"/>
      <c r="B64" s="7"/>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row>
    <row r="65" customFormat="false" ht="15" hidden="false" customHeight="true" outlineLevel="0" collapsed="false">
      <c r="A65" s="7"/>
      <c r="B65" s="7"/>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row>
    <row r="66" customFormat="false" ht="15" hidden="false" customHeight="true" outlineLevel="0" collapsed="false">
      <c r="A66" s="7"/>
      <c r="B66" s="7"/>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row>
    <row r="67" customFormat="false" ht="15" hidden="false" customHeight="true" outlineLevel="0" collapsed="false">
      <c r="A67" s="7"/>
      <c r="B67" s="7"/>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row>
    <row r="68" customFormat="false" ht="15" hidden="false" customHeight="true" outlineLevel="0" collapsed="false">
      <c r="A68" s="7"/>
      <c r="B68" s="7"/>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row>
    <row r="69" customFormat="false" ht="15" hidden="false" customHeight="true" outlineLevel="0" collapsed="false">
      <c r="A69" s="7"/>
      <c r="B69" s="7"/>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row>
    <row r="70" customFormat="false" ht="15" hidden="false" customHeight="true" outlineLevel="0" collapsed="false">
      <c r="A70" s="7"/>
      <c r="B70" s="7"/>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row>
    <row r="71" customFormat="false" ht="15" hidden="false" customHeight="true" outlineLevel="0" collapsed="false">
      <c r="A71" s="7"/>
      <c r="B71" s="7"/>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row>
    <row r="72" customFormat="false" ht="15" hidden="false" customHeight="true" outlineLevel="0" collapsed="false">
      <c r="A72" s="7"/>
      <c r="B72" s="7"/>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row>
    <row r="73" customFormat="false" ht="15" hidden="false" customHeight="true" outlineLevel="0" collapsed="false">
      <c r="A73" s="7"/>
      <c r="B73" s="7"/>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row>
    <row r="74" customFormat="false" ht="15" hidden="false" customHeight="true" outlineLevel="0" collapsed="false">
      <c r="A74" s="7"/>
      <c r="B74" s="7"/>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row>
    <row r="75" customFormat="false" ht="15" hidden="false" customHeight="true" outlineLevel="0" collapsed="false">
      <c r="A75" s="7"/>
      <c r="B75" s="7"/>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row>
    <row r="76" customFormat="false" ht="15" hidden="false" customHeight="true" outlineLevel="0" collapsed="false">
      <c r="A76" s="7"/>
      <c r="B76" s="7"/>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row>
    <row r="77" customFormat="false" ht="15" hidden="false" customHeight="true" outlineLevel="0" collapsed="false">
      <c r="A77" s="7"/>
      <c r="B77" s="7"/>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row>
    <row r="78" customFormat="false" ht="15" hidden="false" customHeight="true" outlineLevel="0" collapsed="false">
      <c r="A78" s="7"/>
      <c r="B78" s="7"/>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row>
    <row r="79" customFormat="false" ht="15" hidden="false" customHeight="true" outlineLevel="0" collapsed="false">
      <c r="A79" s="7"/>
      <c r="B79" s="7"/>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row>
    <row r="80" customFormat="false" ht="15" hidden="false" customHeight="true" outlineLevel="0" collapsed="false">
      <c r="A80" s="7"/>
      <c r="B80" s="7"/>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row>
    <row r="81" customFormat="false" ht="15" hidden="false" customHeight="true" outlineLevel="0" collapsed="false">
      <c r="A81" s="7"/>
      <c r="B81" s="7"/>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row>
    <row r="82" customFormat="false" ht="15" hidden="false" customHeight="true" outlineLevel="0" collapsed="false">
      <c r="A82" s="7"/>
      <c r="B82" s="7"/>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row>
    <row r="83" customFormat="false" ht="15" hidden="false" customHeight="true" outlineLevel="0" collapsed="false">
      <c r="A83" s="7"/>
      <c r="B83" s="7"/>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row>
    <row r="84" customFormat="false" ht="15" hidden="false" customHeight="true" outlineLevel="0" collapsed="false">
      <c r="A84" s="7"/>
      <c r="B84" s="7"/>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row>
    <row r="85" customFormat="false" ht="15" hidden="false" customHeight="true" outlineLevel="0" collapsed="false">
      <c r="A85" s="7"/>
      <c r="B85" s="7"/>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row>
    <row r="86" customFormat="false" ht="15" hidden="false" customHeight="true" outlineLevel="0" collapsed="false">
      <c r="A86" s="7"/>
      <c r="B86" s="7"/>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row>
    <row r="87" customFormat="false" ht="15" hidden="false" customHeight="true" outlineLevel="0" collapsed="false">
      <c r="A87" s="7"/>
      <c r="B87" s="7"/>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row>
    <row r="88" customFormat="false" ht="15" hidden="false" customHeight="true" outlineLevel="0" collapsed="false">
      <c r="A88" s="7"/>
      <c r="B88" s="7"/>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row>
    <row r="89" customFormat="false" ht="15" hidden="false" customHeight="true" outlineLevel="0" collapsed="false">
      <c r="A89" s="7"/>
      <c r="B89" s="7"/>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row>
    <row r="90" customFormat="false" ht="15" hidden="false" customHeight="true" outlineLevel="0" collapsed="false">
      <c r="A90" s="7"/>
      <c r="B90" s="7"/>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row>
    <row r="91" customFormat="false" ht="15" hidden="false" customHeight="true" outlineLevel="0" collapsed="false">
      <c r="A91" s="7"/>
      <c r="B91" s="7"/>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row>
    <row r="92" customFormat="false" ht="15" hidden="false" customHeight="true" outlineLevel="0" collapsed="false">
      <c r="A92" s="7"/>
      <c r="B92" s="7"/>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row>
    <row r="93" customFormat="false" ht="15" hidden="false" customHeight="true" outlineLevel="0" collapsed="false">
      <c r="A93" s="7"/>
      <c r="B93" s="7"/>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row>
    <row r="94" customFormat="false" ht="15" hidden="false" customHeight="true" outlineLevel="0" collapsed="false">
      <c r="A94" s="7"/>
      <c r="B94" s="7"/>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row>
    <row r="95" customFormat="false" ht="15" hidden="false" customHeight="true" outlineLevel="0" collapsed="false">
      <c r="A95" s="7"/>
      <c r="B95" s="7"/>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row>
    <row r="96" customFormat="false" ht="15" hidden="false" customHeight="true" outlineLevel="0" collapsed="false">
      <c r="A96" s="7"/>
      <c r="B96" s="7"/>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row>
    <row r="97" customFormat="false" ht="15" hidden="false" customHeight="true" outlineLevel="0" collapsed="false">
      <c r="A97" s="7"/>
      <c r="B97" s="7"/>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row>
    <row r="98" customFormat="false" ht="15" hidden="false" customHeight="true" outlineLevel="0" collapsed="false">
      <c r="A98" s="7"/>
      <c r="B98" s="7"/>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row>
    <row r="99" customFormat="false" ht="15" hidden="false" customHeight="true" outlineLevel="0" collapsed="false">
      <c r="A99" s="7"/>
      <c r="B99" s="7"/>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row>
    <row r="100" customFormat="false" ht="15" hidden="false" customHeight="true" outlineLevel="0" collapsed="false">
      <c r="A100" s="7"/>
      <c r="B100" s="7"/>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row>
    <row r="101" customFormat="false" ht="15" hidden="false" customHeight="true" outlineLevel="0" collapsed="false">
      <c r="A101" s="7"/>
      <c r="B101" s="7"/>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row>
    <row r="102" customFormat="false" ht="15" hidden="false" customHeight="true" outlineLevel="0" collapsed="false">
      <c r="A102" s="7"/>
      <c r="B102" s="7"/>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row>
    <row r="103" customFormat="false" ht="15" hidden="false" customHeight="true" outlineLevel="0" collapsed="false">
      <c r="A103" s="7"/>
      <c r="B103" s="7"/>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row>
    <row r="104" customFormat="false" ht="15" hidden="false" customHeight="true" outlineLevel="0" collapsed="false">
      <c r="A104" s="7"/>
      <c r="B104" s="7"/>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row>
    <row r="105" customFormat="false" ht="15" hidden="false" customHeight="true" outlineLevel="0" collapsed="false">
      <c r="A105" s="7"/>
      <c r="B105" s="7"/>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row>
    <row r="106" customFormat="false" ht="15" hidden="false" customHeight="true" outlineLevel="0" collapsed="false">
      <c r="A106" s="7"/>
      <c r="B106" s="7"/>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row>
    <row r="107" customFormat="false" ht="15" hidden="false" customHeight="true" outlineLevel="0" collapsed="false">
      <c r="A107" s="7"/>
      <c r="B107" s="7"/>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row>
    <row r="108" customFormat="false" ht="15" hidden="false" customHeight="true" outlineLevel="0" collapsed="false">
      <c r="A108" s="7"/>
      <c r="B108" s="7"/>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row>
    <row r="109" customFormat="false" ht="15" hidden="false" customHeight="true" outlineLevel="0" collapsed="false">
      <c r="A109" s="7"/>
      <c r="B109" s="7"/>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row>
    <row r="110" customFormat="false" ht="15" hidden="false" customHeight="true" outlineLevel="0" collapsed="false">
      <c r="A110" s="7"/>
      <c r="B110" s="7"/>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row>
    <row r="111" customFormat="false" ht="15" hidden="false" customHeight="true" outlineLevel="0" collapsed="false">
      <c r="A111" s="7"/>
      <c r="B111" s="7"/>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row>
    <row r="112" customFormat="false" ht="15" hidden="false" customHeight="true" outlineLevel="0" collapsed="false">
      <c r="A112" s="7"/>
      <c r="B112" s="7"/>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row>
    <row r="113" customFormat="false" ht="15" hidden="false" customHeight="true" outlineLevel="0" collapsed="false">
      <c r="A113" s="7"/>
      <c r="B113" s="7"/>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row>
    <row r="114" customFormat="false" ht="15" hidden="false" customHeight="true" outlineLevel="0" collapsed="false">
      <c r="A114" s="7"/>
      <c r="B114" s="7"/>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row>
    <row r="115" customFormat="false" ht="15" hidden="false" customHeight="true" outlineLevel="0" collapsed="false">
      <c r="A115" s="7"/>
      <c r="B115" s="7"/>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row>
    <row r="116" customFormat="false" ht="15" hidden="false" customHeight="true" outlineLevel="0" collapsed="false">
      <c r="A116" s="7"/>
      <c r="B116" s="7"/>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row>
    <row r="117" customFormat="false" ht="15" hidden="false" customHeight="true" outlineLevel="0" collapsed="false">
      <c r="A117" s="7"/>
      <c r="B117" s="7"/>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row>
    <row r="118" customFormat="false" ht="15" hidden="false" customHeight="true" outlineLevel="0" collapsed="false">
      <c r="A118" s="7"/>
      <c r="B118" s="7"/>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row>
    <row r="119" customFormat="false" ht="15" hidden="false" customHeight="true" outlineLevel="0" collapsed="false">
      <c r="A119" s="7"/>
      <c r="B119" s="7"/>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row>
    <row r="120" customFormat="false" ht="15" hidden="false" customHeight="true" outlineLevel="0" collapsed="false">
      <c r="A120" s="7"/>
      <c r="B120" s="7"/>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row>
    <row r="121" customFormat="false" ht="15" hidden="false" customHeight="true" outlineLevel="0" collapsed="false">
      <c r="A121" s="7"/>
      <c r="B121" s="7"/>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row>
    <row r="122" customFormat="false" ht="15" hidden="false" customHeight="true" outlineLevel="0" collapsed="false">
      <c r="A122" s="7"/>
      <c r="B122" s="7"/>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row>
    <row r="123" customFormat="false" ht="15" hidden="false" customHeight="true" outlineLevel="0" collapsed="false">
      <c r="A123" s="7"/>
      <c r="B123" s="7"/>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row>
    <row r="124" customFormat="false" ht="15" hidden="false" customHeight="true" outlineLevel="0" collapsed="false">
      <c r="A124" s="7"/>
      <c r="B124" s="7"/>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row>
    <row r="125" customFormat="false" ht="15" hidden="false" customHeight="true" outlineLevel="0" collapsed="false">
      <c r="A125" s="7"/>
      <c r="B125" s="7"/>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row>
    <row r="126" customFormat="false" ht="15" hidden="false" customHeight="true" outlineLevel="0" collapsed="false">
      <c r="A126" s="7"/>
      <c r="B126" s="7"/>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row>
    <row r="127" customFormat="false" ht="15" hidden="false" customHeight="true" outlineLevel="0" collapsed="false">
      <c r="A127" s="7"/>
      <c r="B127" s="7"/>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row>
    <row r="128" customFormat="false" ht="15" hidden="false" customHeight="true" outlineLevel="0" collapsed="false">
      <c r="A128" s="7"/>
      <c r="B128" s="7"/>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row>
    <row r="129" customFormat="false" ht="15" hidden="false" customHeight="true" outlineLevel="0" collapsed="false">
      <c r="A129" s="7"/>
      <c r="B129" s="7"/>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row>
    <row r="130" customFormat="false" ht="15" hidden="false" customHeight="true" outlineLevel="0" collapsed="false">
      <c r="A130" s="7"/>
      <c r="B130" s="7"/>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row>
    <row r="131" customFormat="false" ht="15" hidden="false" customHeight="true" outlineLevel="0" collapsed="false">
      <c r="A131" s="7"/>
      <c r="B131" s="7"/>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row>
    <row r="132" customFormat="false" ht="15" hidden="false" customHeight="true" outlineLevel="0" collapsed="false">
      <c r="A132" s="7"/>
      <c r="B132" s="7"/>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row>
    <row r="133" customFormat="false" ht="15" hidden="false" customHeight="true" outlineLevel="0" collapsed="false">
      <c r="A133" s="7"/>
      <c r="B133" s="7"/>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row>
    <row r="134" customFormat="false" ht="15" hidden="false" customHeight="true" outlineLevel="0" collapsed="false">
      <c r="A134" s="7"/>
      <c r="B134" s="7"/>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row>
    <row r="135" customFormat="false" ht="15" hidden="false" customHeight="true" outlineLevel="0" collapsed="false">
      <c r="A135" s="7"/>
      <c r="B135" s="7"/>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row>
    <row r="136" customFormat="false" ht="15" hidden="false" customHeight="true" outlineLevel="0" collapsed="false">
      <c r="A136" s="7"/>
      <c r="B136" s="7"/>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row>
    <row r="137" customFormat="false" ht="15" hidden="false" customHeight="true" outlineLevel="0" collapsed="false">
      <c r="A137" s="7"/>
      <c r="B137" s="7"/>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row>
    <row r="138" customFormat="false" ht="15" hidden="false" customHeight="true" outlineLevel="0" collapsed="false">
      <c r="A138" s="7"/>
      <c r="B138" s="7"/>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row>
    <row r="139" customFormat="false" ht="15" hidden="false" customHeight="true" outlineLevel="0" collapsed="false">
      <c r="A139" s="7"/>
      <c r="B139" s="7"/>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row>
    <row r="140" customFormat="false" ht="15" hidden="false" customHeight="true" outlineLevel="0" collapsed="false">
      <c r="A140" s="7"/>
      <c r="B140" s="7"/>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row>
    <row r="141" customFormat="false" ht="15" hidden="false" customHeight="true" outlineLevel="0" collapsed="false">
      <c r="A141" s="7"/>
      <c r="B141" s="7"/>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row>
    <row r="142" customFormat="false" ht="15" hidden="false" customHeight="true" outlineLevel="0" collapsed="false">
      <c r="A142" s="7"/>
      <c r="B142" s="7"/>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row>
    <row r="143" customFormat="false" ht="15" hidden="false" customHeight="true" outlineLevel="0" collapsed="false">
      <c r="A143" s="7"/>
      <c r="B143" s="7"/>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row>
    <row r="144" customFormat="false" ht="15" hidden="false" customHeight="true" outlineLevel="0" collapsed="false">
      <c r="A144" s="7"/>
      <c r="B144" s="7"/>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row>
    <row r="145" customFormat="false" ht="15" hidden="false" customHeight="true" outlineLevel="0" collapsed="false">
      <c r="A145" s="7"/>
      <c r="B145" s="7"/>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row>
    <row r="146" customFormat="false" ht="15" hidden="false" customHeight="true" outlineLevel="0" collapsed="false">
      <c r="A146" s="7"/>
      <c r="B146" s="7"/>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row>
    <row r="147" customFormat="false" ht="15" hidden="false" customHeight="true" outlineLevel="0" collapsed="false">
      <c r="A147" s="7"/>
      <c r="B147" s="7"/>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row>
    <row r="148" customFormat="false" ht="15" hidden="false" customHeight="true" outlineLevel="0" collapsed="false">
      <c r="A148" s="7"/>
      <c r="B148" s="7"/>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row>
    <row r="149" customFormat="false" ht="15" hidden="false" customHeight="true" outlineLevel="0" collapsed="false">
      <c r="A149" s="7"/>
      <c r="B149" s="7"/>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row>
    <row r="150" customFormat="false" ht="15" hidden="false" customHeight="true" outlineLevel="0" collapsed="false">
      <c r="A150" s="7"/>
      <c r="B150" s="7"/>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row>
    <row r="151" customFormat="false" ht="15" hidden="false" customHeight="true" outlineLevel="0" collapsed="false">
      <c r="A151" s="7"/>
      <c r="B151" s="7"/>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row>
    <row r="152" customFormat="false" ht="15" hidden="false" customHeight="true" outlineLevel="0" collapsed="false">
      <c r="A152" s="7"/>
      <c r="B152" s="7"/>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row>
    <row r="153" customFormat="false" ht="15" hidden="false" customHeight="true" outlineLevel="0" collapsed="false">
      <c r="A153" s="7"/>
      <c r="B153" s="7"/>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row>
    <row r="154" customFormat="false" ht="15" hidden="false" customHeight="true" outlineLevel="0" collapsed="false">
      <c r="A154" s="7"/>
      <c r="B154" s="7"/>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row>
    <row r="155" customFormat="false" ht="15" hidden="false" customHeight="true" outlineLevel="0" collapsed="false">
      <c r="A155" s="7"/>
      <c r="B155" s="7"/>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row>
    <row r="156" customFormat="false" ht="15" hidden="false" customHeight="true" outlineLevel="0" collapsed="false">
      <c r="A156" s="7"/>
      <c r="B156" s="7"/>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row>
    <row r="157" customFormat="false" ht="15" hidden="false" customHeight="true" outlineLevel="0" collapsed="false">
      <c r="A157" s="7"/>
      <c r="B157" s="7"/>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row>
    <row r="158" customFormat="false" ht="15" hidden="false" customHeight="true" outlineLevel="0" collapsed="false">
      <c r="A158" s="7"/>
      <c r="B158" s="7"/>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row>
    <row r="159" customFormat="false" ht="15" hidden="false" customHeight="true" outlineLevel="0" collapsed="false">
      <c r="A159" s="7"/>
      <c r="B159" s="7"/>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row>
    <row r="160" customFormat="false" ht="15" hidden="false" customHeight="true" outlineLevel="0" collapsed="false">
      <c r="A160" s="7"/>
      <c r="B160" s="7"/>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row>
    <row r="161" customFormat="false" ht="15" hidden="false" customHeight="true" outlineLevel="0" collapsed="false">
      <c r="A161" s="7"/>
      <c r="B161" s="7"/>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row>
    <row r="162" customFormat="false" ht="15" hidden="false" customHeight="true" outlineLevel="0" collapsed="false">
      <c r="A162" s="7"/>
      <c r="B162" s="7"/>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row>
    <row r="163" customFormat="false" ht="15" hidden="false" customHeight="true" outlineLevel="0" collapsed="false">
      <c r="A163" s="7"/>
      <c r="B163" s="7"/>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row>
    <row r="164" customFormat="false" ht="15" hidden="false" customHeight="true" outlineLevel="0" collapsed="false">
      <c r="A164" s="7"/>
      <c r="B164" s="7"/>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row>
    <row r="165" customFormat="false" ht="15" hidden="false" customHeight="true" outlineLevel="0" collapsed="false">
      <c r="A165" s="7"/>
      <c r="B165" s="7"/>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row>
    <row r="166" customFormat="false" ht="15" hidden="false" customHeight="true" outlineLevel="0" collapsed="false">
      <c r="A166" s="7"/>
      <c r="B166" s="7"/>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row>
    <row r="167" customFormat="false" ht="15" hidden="false" customHeight="true" outlineLevel="0" collapsed="false">
      <c r="A167" s="7"/>
      <c r="B167" s="7"/>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row>
    <row r="168" customFormat="false" ht="15" hidden="false" customHeight="true" outlineLevel="0" collapsed="false">
      <c r="A168" s="7"/>
      <c r="B168" s="7"/>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row>
    <row r="169" customFormat="false" ht="15" hidden="false" customHeight="true" outlineLevel="0" collapsed="false">
      <c r="A169" s="7"/>
      <c r="B169" s="7"/>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row>
    <row r="170" customFormat="false" ht="15" hidden="false" customHeight="true" outlineLevel="0" collapsed="false">
      <c r="A170" s="7"/>
      <c r="B170" s="7"/>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row>
    <row r="171" customFormat="false" ht="15" hidden="false" customHeight="true" outlineLevel="0" collapsed="false">
      <c r="A171" s="7"/>
      <c r="B171" s="7"/>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row>
    <row r="172" customFormat="false" ht="15" hidden="false" customHeight="true" outlineLevel="0" collapsed="false">
      <c r="A172" s="7"/>
      <c r="B172" s="7"/>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row>
    <row r="173" customFormat="false" ht="15" hidden="false" customHeight="true" outlineLevel="0" collapsed="false">
      <c r="A173" s="7"/>
      <c r="B173" s="7"/>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row>
    <row r="174" customFormat="false" ht="15" hidden="false" customHeight="true" outlineLevel="0" collapsed="false">
      <c r="A174" s="7"/>
      <c r="B174" s="7"/>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row>
    <row r="175" customFormat="false" ht="15" hidden="false" customHeight="true" outlineLevel="0" collapsed="false">
      <c r="A175" s="7"/>
      <c r="B175" s="7"/>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row>
    <row r="176" customFormat="false" ht="15" hidden="false" customHeight="true" outlineLevel="0" collapsed="false">
      <c r="A176" s="7"/>
      <c r="B176" s="7"/>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row>
    <row r="177" customFormat="false" ht="15" hidden="false" customHeight="true" outlineLevel="0" collapsed="false">
      <c r="A177" s="7"/>
      <c r="B177" s="7"/>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row>
    <row r="178" customFormat="false" ht="15" hidden="false" customHeight="true" outlineLevel="0" collapsed="false">
      <c r="A178" s="7"/>
      <c r="B178" s="7"/>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row>
    <row r="179" customFormat="false" ht="15" hidden="false" customHeight="true" outlineLevel="0" collapsed="false">
      <c r="A179" s="7"/>
      <c r="B179" s="7"/>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row>
    <row r="180" customFormat="false" ht="15" hidden="false" customHeight="true" outlineLevel="0" collapsed="false">
      <c r="A180" s="7"/>
      <c r="B180" s="7"/>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row>
    <row r="181" customFormat="false" ht="15" hidden="false" customHeight="true" outlineLevel="0" collapsed="false">
      <c r="A181" s="7"/>
      <c r="B181" s="7"/>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row>
    <row r="182" customFormat="false" ht="15" hidden="false" customHeight="true" outlineLevel="0" collapsed="false">
      <c r="A182" s="7"/>
      <c r="B182" s="7"/>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row>
    <row r="183" customFormat="false" ht="15" hidden="false" customHeight="true" outlineLevel="0" collapsed="false">
      <c r="A183" s="7"/>
      <c r="B183" s="7"/>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row>
    <row r="184" customFormat="false" ht="15" hidden="false" customHeight="true" outlineLevel="0" collapsed="false">
      <c r="A184" s="7"/>
      <c r="B184" s="7"/>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row>
    <row r="185" customFormat="false" ht="15" hidden="false" customHeight="true" outlineLevel="0" collapsed="false">
      <c r="A185" s="7"/>
      <c r="B185" s="7"/>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row>
    <row r="186" customFormat="false" ht="15" hidden="false" customHeight="true" outlineLevel="0" collapsed="false">
      <c r="A186" s="7"/>
      <c r="B186" s="7"/>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row>
    <row r="187" customFormat="false" ht="15" hidden="false" customHeight="true" outlineLevel="0" collapsed="false">
      <c r="A187" s="7"/>
      <c r="B187" s="7"/>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row>
    <row r="188" customFormat="false" ht="15" hidden="false" customHeight="true" outlineLevel="0" collapsed="false">
      <c r="A188" s="7"/>
      <c r="B188" s="7"/>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row>
    <row r="189" customFormat="false" ht="15" hidden="false" customHeight="true" outlineLevel="0" collapsed="false">
      <c r="A189" s="7"/>
      <c r="B189" s="7"/>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row>
    <row r="190" customFormat="false" ht="15" hidden="false" customHeight="true" outlineLevel="0" collapsed="false">
      <c r="A190" s="7"/>
      <c r="B190" s="7"/>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row>
    <row r="191" customFormat="false" ht="15" hidden="false" customHeight="true" outlineLevel="0" collapsed="false">
      <c r="A191" s="7"/>
      <c r="B191" s="7"/>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row>
    <row r="192" customFormat="false" ht="15" hidden="false" customHeight="true" outlineLevel="0" collapsed="false">
      <c r="A192" s="7"/>
      <c r="B192" s="7"/>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row>
    <row r="193" customFormat="false" ht="15" hidden="false" customHeight="true" outlineLevel="0" collapsed="false">
      <c r="A193" s="7"/>
      <c r="B193" s="7"/>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row>
    <row r="194" customFormat="false" ht="15" hidden="false" customHeight="true" outlineLevel="0" collapsed="false">
      <c r="A194" s="7"/>
      <c r="B194" s="7"/>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row>
    <row r="195" customFormat="false" ht="15" hidden="false" customHeight="true" outlineLevel="0" collapsed="false">
      <c r="A195" s="7"/>
      <c r="B195" s="7"/>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row>
    <row r="196" customFormat="false" ht="15" hidden="false" customHeight="true" outlineLevel="0" collapsed="false">
      <c r="A196" s="7"/>
      <c r="B196" s="7"/>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row>
    <row r="197" customFormat="false" ht="15" hidden="false" customHeight="true" outlineLevel="0" collapsed="false">
      <c r="A197" s="7"/>
      <c r="B197" s="7"/>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row>
    <row r="198" customFormat="false" ht="15" hidden="false" customHeight="true" outlineLevel="0" collapsed="false">
      <c r="A198" s="7"/>
      <c r="B198" s="7"/>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row>
    <row r="199" customFormat="false" ht="15" hidden="false" customHeight="true" outlineLevel="0" collapsed="false">
      <c r="A199" s="7"/>
      <c r="B199" s="7"/>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row>
    <row r="200" customFormat="false" ht="15" hidden="false" customHeight="true" outlineLevel="0" collapsed="false">
      <c r="A200" s="7"/>
      <c r="B200" s="7"/>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row>
  </sheetData>
  <mergeCells count="1">
    <mergeCell ref="A1:B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88"/>
    <col collapsed="false" customWidth="true" hidden="false" outlineLevel="0" max="2" min="2" style="1" width="68.38"/>
  </cols>
  <sheetData>
    <row r="1" customFormat="false" ht="30" hidden="false" customHeight="true" outlineLevel="0" collapsed="false">
      <c r="A1" s="10" t="s">
        <v>486</v>
      </c>
      <c r="B1" s="10"/>
    </row>
    <row r="2" customFormat="false" ht="15" hidden="false" customHeight="true" outlineLevel="0" collapsed="false">
      <c r="A2" s="24" t="s">
        <v>487</v>
      </c>
      <c r="B2" s="24" t="s">
        <v>488</v>
      </c>
    </row>
    <row r="3" customFormat="false" ht="15" hidden="false" customHeight="true" outlineLevel="0" collapsed="false">
      <c r="A3" s="24" t="s">
        <v>489</v>
      </c>
      <c r="B3" s="24" t="s">
        <v>490</v>
      </c>
    </row>
    <row r="4" customFormat="false" ht="27.75" hidden="false" customHeight="true" outlineLevel="0" collapsed="false">
      <c r="A4" s="24" t="s">
        <v>491</v>
      </c>
      <c r="B4" s="24" t="s">
        <v>492</v>
      </c>
    </row>
    <row r="5" customFormat="false" ht="32.25" hidden="false" customHeight="true" outlineLevel="0" collapsed="false">
      <c r="A5" s="24" t="s">
        <v>493</v>
      </c>
      <c r="B5" s="24" t="s">
        <v>494</v>
      </c>
    </row>
    <row r="6" customFormat="false" ht="32.25" hidden="false" customHeight="true" outlineLevel="0" collapsed="false">
      <c r="A6" s="24" t="s">
        <v>495</v>
      </c>
      <c r="B6" s="24" t="s">
        <v>496</v>
      </c>
    </row>
    <row r="7" customFormat="false" ht="27.75" hidden="false" customHeight="true" outlineLevel="0" collapsed="false">
      <c r="A7" s="24" t="s">
        <v>497</v>
      </c>
      <c r="B7" s="24" t="s">
        <v>498</v>
      </c>
    </row>
    <row r="8" customFormat="false" ht="27.75" hidden="false" customHeight="true" outlineLevel="0" collapsed="false">
      <c r="A8" s="24" t="s">
        <v>499</v>
      </c>
      <c r="B8" s="26" t="s">
        <v>500</v>
      </c>
    </row>
    <row r="9" customFormat="false" ht="16.5" hidden="false" customHeight="true" outlineLevel="0" collapsed="false">
      <c r="A9" s="24" t="s">
        <v>501</v>
      </c>
      <c r="B9" s="26" t="s">
        <v>502</v>
      </c>
    </row>
    <row r="10" customFormat="false" ht="16.5" hidden="false" customHeight="true" outlineLevel="0" collapsed="false">
      <c r="A10" s="24" t="s">
        <v>503</v>
      </c>
      <c r="B10" s="26" t="s">
        <v>504</v>
      </c>
    </row>
    <row r="11" customFormat="false" ht="16.5" hidden="false" customHeight="true" outlineLevel="0" collapsed="false">
      <c r="A11" s="24" t="s">
        <v>35</v>
      </c>
      <c r="B11" s="26" t="s">
        <v>505</v>
      </c>
    </row>
    <row r="12" customFormat="false" ht="15" hidden="false" customHeight="true" outlineLevel="0" collapsed="false">
      <c r="A12" s="24"/>
      <c r="B12" s="24"/>
    </row>
    <row r="13" customFormat="false" ht="15" hidden="false" customHeight="true" outlineLevel="0" collapsed="false">
      <c r="A13" s="24"/>
      <c r="B13" s="24"/>
    </row>
    <row r="14" customFormat="false" ht="15" hidden="false" customHeight="true" outlineLevel="0" collapsed="false">
      <c r="A14" s="24"/>
      <c r="B14" s="24"/>
    </row>
    <row r="15" customFormat="false" ht="15" hidden="false" customHeight="true" outlineLevel="0" collapsed="false">
      <c r="A15" s="24"/>
      <c r="B15" s="24"/>
    </row>
    <row r="16" customFormat="false" ht="15" hidden="false" customHeight="true" outlineLevel="0" collapsed="false">
      <c r="A16" s="24"/>
      <c r="B16" s="24"/>
    </row>
    <row r="17" customFormat="false" ht="15" hidden="false" customHeight="true" outlineLevel="0" collapsed="false">
      <c r="A17" s="24"/>
      <c r="B17" s="24"/>
    </row>
    <row r="18" customFormat="false" ht="15" hidden="false" customHeight="true" outlineLevel="0" collapsed="false">
      <c r="A18" s="24"/>
      <c r="B18" s="24"/>
    </row>
    <row r="19" customFormat="false" ht="15" hidden="false" customHeight="true" outlineLevel="0" collapsed="false">
      <c r="A19" s="24"/>
      <c r="B19" s="24"/>
    </row>
    <row r="20" customFormat="false" ht="15" hidden="false" customHeight="true" outlineLevel="0" collapsed="false">
      <c r="A20" s="24"/>
      <c r="B20" s="24"/>
    </row>
    <row r="21" customFormat="false" ht="15" hidden="false" customHeight="true" outlineLevel="0" collapsed="false">
      <c r="A21" s="24"/>
      <c r="B21" s="24"/>
    </row>
    <row r="22" customFormat="false" ht="15" hidden="false" customHeight="true" outlineLevel="0" collapsed="false">
      <c r="A22" s="24"/>
      <c r="B22" s="24"/>
    </row>
    <row r="23" customFormat="false" ht="15" hidden="false" customHeight="true" outlineLevel="0" collapsed="false">
      <c r="A23" s="24"/>
      <c r="B23" s="24"/>
    </row>
    <row r="24" customFormat="false" ht="15" hidden="false" customHeight="true" outlineLevel="0" collapsed="false">
      <c r="A24" s="24"/>
      <c r="B24" s="24"/>
    </row>
    <row r="25" customFormat="false" ht="15" hidden="false" customHeight="true" outlineLevel="0" collapsed="false">
      <c r="A25" s="24"/>
      <c r="B25" s="24"/>
    </row>
    <row r="26" customFormat="false" ht="15" hidden="false" customHeight="true" outlineLevel="0" collapsed="false">
      <c r="A26" s="24"/>
      <c r="B26" s="24"/>
    </row>
    <row r="27" customFormat="false" ht="15" hidden="false" customHeight="true" outlineLevel="0" collapsed="false">
      <c r="A27" s="24"/>
      <c r="B27" s="24"/>
    </row>
    <row r="28" customFormat="false" ht="15" hidden="false" customHeight="true" outlineLevel="0" collapsed="false">
      <c r="A28" s="24"/>
      <c r="B28" s="24"/>
    </row>
    <row r="29" customFormat="false" ht="15" hidden="false" customHeight="true" outlineLevel="0" collapsed="false">
      <c r="A29" s="24"/>
      <c r="B29" s="24"/>
    </row>
    <row r="30" customFormat="false" ht="15" hidden="false" customHeight="true" outlineLevel="0" collapsed="false">
      <c r="A30" s="24"/>
      <c r="B30" s="24"/>
    </row>
    <row r="31" customFormat="false" ht="15" hidden="false" customHeight="true" outlineLevel="0" collapsed="false">
      <c r="A31" s="24"/>
      <c r="B31" s="24"/>
    </row>
    <row r="32" customFormat="false" ht="15" hidden="false" customHeight="true" outlineLevel="0" collapsed="false">
      <c r="A32" s="24"/>
      <c r="B32" s="24"/>
    </row>
    <row r="33" customFormat="false" ht="15" hidden="false" customHeight="true" outlineLevel="0" collapsed="false">
      <c r="A33" s="24"/>
      <c r="B33" s="24"/>
    </row>
    <row r="34" customFormat="false" ht="15" hidden="false" customHeight="true" outlineLevel="0" collapsed="false">
      <c r="A34" s="24"/>
      <c r="B34" s="24"/>
    </row>
    <row r="35" customFormat="false" ht="15" hidden="false" customHeight="true" outlineLevel="0" collapsed="false">
      <c r="A35" s="24"/>
      <c r="B35" s="24"/>
    </row>
    <row r="36" customFormat="false" ht="15" hidden="false" customHeight="true" outlineLevel="0" collapsed="false">
      <c r="A36" s="24"/>
      <c r="B36" s="24"/>
    </row>
    <row r="37" customFormat="false" ht="15" hidden="false" customHeight="true" outlineLevel="0" collapsed="false">
      <c r="A37" s="24"/>
      <c r="B37" s="24"/>
    </row>
    <row r="38" customFormat="false" ht="15" hidden="false" customHeight="true" outlineLevel="0" collapsed="false">
      <c r="A38" s="24"/>
      <c r="B38" s="24"/>
    </row>
    <row r="39" customFormat="false" ht="15" hidden="false" customHeight="true" outlineLevel="0" collapsed="false">
      <c r="A39" s="24"/>
      <c r="B39" s="24"/>
    </row>
    <row r="40" customFormat="false" ht="15" hidden="false" customHeight="true" outlineLevel="0" collapsed="false">
      <c r="A40" s="24"/>
      <c r="B40" s="24"/>
    </row>
    <row r="41" customFormat="false" ht="15" hidden="false" customHeight="true" outlineLevel="0" collapsed="false">
      <c r="A41" s="24"/>
      <c r="B41" s="24"/>
    </row>
    <row r="42" customFormat="false" ht="15" hidden="false" customHeight="true" outlineLevel="0" collapsed="false">
      <c r="A42" s="24"/>
      <c r="B42" s="24"/>
    </row>
    <row r="43" customFormat="false" ht="15" hidden="false" customHeight="true" outlineLevel="0" collapsed="false">
      <c r="A43" s="24"/>
      <c r="B43" s="24"/>
    </row>
    <row r="44" customFormat="false" ht="15" hidden="false" customHeight="true" outlineLevel="0" collapsed="false">
      <c r="A44" s="24"/>
      <c r="B44" s="24"/>
    </row>
    <row r="45" customFormat="false" ht="15" hidden="false" customHeight="true" outlineLevel="0" collapsed="false">
      <c r="A45" s="24"/>
      <c r="B45" s="24"/>
    </row>
    <row r="46" customFormat="false" ht="15" hidden="false" customHeight="true" outlineLevel="0" collapsed="false">
      <c r="A46" s="24"/>
      <c r="B46" s="24"/>
    </row>
    <row r="47" customFormat="false" ht="15" hidden="false" customHeight="true" outlineLevel="0" collapsed="false">
      <c r="A47" s="24"/>
      <c r="B47" s="24"/>
    </row>
    <row r="48" customFormat="false" ht="15" hidden="false" customHeight="true" outlineLevel="0" collapsed="false">
      <c r="A48" s="24"/>
      <c r="B48" s="24"/>
    </row>
    <row r="49" customFormat="false" ht="15" hidden="false" customHeight="true" outlineLevel="0" collapsed="false">
      <c r="A49" s="24"/>
      <c r="B49" s="24"/>
    </row>
    <row r="50" customFormat="false" ht="15" hidden="false" customHeight="true" outlineLevel="0" collapsed="false">
      <c r="A50" s="24"/>
      <c r="B50" s="24"/>
    </row>
    <row r="51" customFormat="false" ht="15" hidden="false" customHeight="true" outlineLevel="0" collapsed="false">
      <c r="A51" s="24"/>
      <c r="B51" s="24"/>
    </row>
    <row r="52" customFormat="false" ht="15" hidden="false" customHeight="true" outlineLevel="0" collapsed="false">
      <c r="A52" s="24"/>
      <c r="B52" s="24"/>
    </row>
    <row r="53" customFormat="false" ht="15" hidden="false" customHeight="true" outlineLevel="0" collapsed="false">
      <c r="A53" s="24"/>
      <c r="B53" s="24"/>
    </row>
    <row r="54" customFormat="false" ht="15" hidden="false" customHeight="true" outlineLevel="0" collapsed="false">
      <c r="A54" s="24"/>
      <c r="B54" s="24"/>
    </row>
    <row r="55" customFormat="false" ht="15" hidden="false" customHeight="true" outlineLevel="0" collapsed="false">
      <c r="A55" s="24"/>
      <c r="B55" s="24"/>
    </row>
    <row r="56" customFormat="false" ht="15" hidden="false" customHeight="true" outlineLevel="0" collapsed="false">
      <c r="A56" s="24"/>
      <c r="B56" s="24"/>
    </row>
    <row r="57" customFormat="false" ht="15" hidden="false" customHeight="true" outlineLevel="0" collapsed="false">
      <c r="A57" s="24"/>
      <c r="B57" s="24"/>
    </row>
    <row r="58" customFormat="false" ht="15" hidden="false" customHeight="true" outlineLevel="0" collapsed="false">
      <c r="A58" s="24"/>
      <c r="B58" s="24"/>
    </row>
    <row r="59" customFormat="false" ht="15" hidden="false" customHeight="true" outlineLevel="0" collapsed="false">
      <c r="A59" s="24"/>
      <c r="B59" s="24"/>
    </row>
    <row r="60" customFormat="false" ht="15" hidden="false" customHeight="true" outlineLevel="0" collapsed="false">
      <c r="A60" s="24"/>
      <c r="B60" s="24"/>
    </row>
    <row r="61" customFormat="false" ht="15" hidden="false" customHeight="true" outlineLevel="0" collapsed="false">
      <c r="A61" s="24"/>
      <c r="B61" s="24"/>
    </row>
    <row r="62" customFormat="false" ht="15" hidden="false" customHeight="true" outlineLevel="0" collapsed="false">
      <c r="A62" s="24"/>
      <c r="B62" s="24"/>
    </row>
    <row r="63" customFormat="false" ht="15" hidden="false" customHeight="true" outlineLevel="0" collapsed="false">
      <c r="A63" s="24"/>
      <c r="B63" s="24"/>
    </row>
    <row r="64" customFormat="false" ht="15" hidden="false" customHeight="true" outlineLevel="0" collapsed="false">
      <c r="A64" s="24"/>
      <c r="B64" s="24"/>
    </row>
    <row r="65" customFormat="false" ht="15" hidden="false" customHeight="true" outlineLevel="0" collapsed="false">
      <c r="A65" s="24"/>
      <c r="B65" s="24"/>
    </row>
    <row r="66" customFormat="false" ht="15" hidden="false" customHeight="true" outlineLevel="0" collapsed="false">
      <c r="A66" s="24"/>
      <c r="B66" s="24"/>
    </row>
    <row r="67" customFormat="false" ht="15" hidden="false" customHeight="true" outlineLevel="0" collapsed="false">
      <c r="A67" s="24"/>
      <c r="B67" s="24"/>
    </row>
    <row r="68" customFormat="false" ht="15" hidden="false" customHeight="true" outlineLevel="0" collapsed="false">
      <c r="A68" s="24"/>
      <c r="B68" s="24"/>
    </row>
    <row r="69" customFormat="false" ht="15" hidden="false" customHeight="true" outlineLevel="0" collapsed="false">
      <c r="A69" s="24"/>
      <c r="B69" s="24"/>
    </row>
    <row r="70" customFormat="false" ht="15" hidden="false" customHeight="true" outlineLevel="0" collapsed="false">
      <c r="A70" s="24"/>
      <c r="B70" s="24"/>
    </row>
    <row r="71" customFormat="false" ht="15" hidden="false" customHeight="true" outlineLevel="0" collapsed="false">
      <c r="A71" s="24"/>
      <c r="B71" s="24"/>
    </row>
    <row r="72" customFormat="false" ht="15" hidden="false" customHeight="true" outlineLevel="0" collapsed="false">
      <c r="A72" s="24"/>
      <c r="B72" s="24"/>
    </row>
    <row r="73" customFormat="false" ht="15" hidden="false" customHeight="true" outlineLevel="0" collapsed="false">
      <c r="A73" s="24"/>
      <c r="B73" s="24"/>
    </row>
    <row r="74" customFormat="false" ht="15" hidden="false" customHeight="true" outlineLevel="0" collapsed="false">
      <c r="A74" s="24"/>
      <c r="B74" s="24"/>
    </row>
    <row r="75" customFormat="false" ht="15" hidden="false" customHeight="true" outlineLevel="0" collapsed="false">
      <c r="A75" s="24"/>
      <c r="B75" s="24"/>
    </row>
    <row r="76" customFormat="false" ht="15" hidden="false" customHeight="true" outlineLevel="0" collapsed="false">
      <c r="A76" s="24"/>
      <c r="B76" s="24"/>
    </row>
    <row r="77" customFormat="false" ht="15" hidden="false" customHeight="true" outlineLevel="0" collapsed="false">
      <c r="A77" s="24"/>
      <c r="B77" s="24"/>
    </row>
    <row r="78" customFormat="false" ht="15" hidden="false" customHeight="true" outlineLevel="0" collapsed="false">
      <c r="A78" s="24"/>
      <c r="B78" s="24"/>
    </row>
    <row r="79" customFormat="false" ht="15" hidden="false" customHeight="true" outlineLevel="0" collapsed="false">
      <c r="A79" s="24"/>
      <c r="B79" s="24"/>
    </row>
    <row r="80" customFormat="false" ht="15" hidden="false" customHeight="true" outlineLevel="0" collapsed="false">
      <c r="A80" s="24"/>
      <c r="B80" s="24"/>
    </row>
    <row r="81" customFormat="false" ht="15" hidden="false" customHeight="true" outlineLevel="0" collapsed="false">
      <c r="A81" s="24"/>
      <c r="B81" s="24"/>
    </row>
    <row r="82" customFormat="false" ht="15" hidden="false" customHeight="true" outlineLevel="0" collapsed="false">
      <c r="A82" s="24"/>
      <c r="B82" s="24"/>
    </row>
    <row r="83" customFormat="false" ht="15" hidden="false" customHeight="true" outlineLevel="0" collapsed="false">
      <c r="A83" s="24"/>
      <c r="B83" s="24"/>
    </row>
    <row r="84" customFormat="false" ht="15" hidden="false" customHeight="true" outlineLevel="0" collapsed="false">
      <c r="A84" s="24"/>
      <c r="B84" s="24"/>
    </row>
    <row r="85" customFormat="false" ht="15" hidden="false" customHeight="true" outlineLevel="0" collapsed="false">
      <c r="A85" s="24"/>
      <c r="B85" s="24"/>
    </row>
    <row r="86" customFormat="false" ht="15" hidden="false" customHeight="true" outlineLevel="0" collapsed="false">
      <c r="A86" s="24"/>
      <c r="B86" s="24"/>
    </row>
    <row r="87" customFormat="false" ht="15" hidden="false" customHeight="true" outlineLevel="0" collapsed="false">
      <c r="A87" s="24"/>
      <c r="B87" s="24"/>
    </row>
    <row r="88" customFormat="false" ht="15" hidden="false" customHeight="true" outlineLevel="0" collapsed="false">
      <c r="A88" s="24"/>
      <c r="B88" s="24"/>
    </row>
    <row r="89" customFormat="false" ht="15" hidden="false" customHeight="true" outlineLevel="0" collapsed="false">
      <c r="A89" s="24"/>
      <c r="B89" s="24"/>
    </row>
    <row r="90" customFormat="false" ht="15" hidden="false" customHeight="true" outlineLevel="0" collapsed="false">
      <c r="A90" s="24"/>
      <c r="B90" s="24"/>
    </row>
    <row r="91" customFormat="false" ht="15" hidden="false" customHeight="true" outlineLevel="0" collapsed="false">
      <c r="A91" s="24"/>
      <c r="B91" s="24"/>
    </row>
    <row r="92" customFormat="false" ht="15" hidden="false" customHeight="true" outlineLevel="0" collapsed="false">
      <c r="A92" s="24"/>
      <c r="B92" s="24"/>
    </row>
    <row r="93" customFormat="false" ht="15" hidden="false" customHeight="true" outlineLevel="0" collapsed="false">
      <c r="A93" s="24"/>
      <c r="B93" s="24"/>
    </row>
    <row r="94" customFormat="false" ht="15" hidden="false" customHeight="true" outlineLevel="0" collapsed="false">
      <c r="A94" s="24"/>
      <c r="B94" s="24"/>
    </row>
    <row r="95" customFormat="false" ht="15" hidden="false" customHeight="true" outlineLevel="0" collapsed="false">
      <c r="A95" s="24"/>
      <c r="B95" s="24"/>
    </row>
    <row r="96" customFormat="false" ht="15" hidden="false" customHeight="true" outlineLevel="0" collapsed="false">
      <c r="A96" s="24"/>
      <c r="B96" s="24"/>
    </row>
    <row r="97" customFormat="false" ht="15" hidden="false" customHeight="true" outlineLevel="0" collapsed="false">
      <c r="A97" s="24"/>
      <c r="B97" s="24"/>
    </row>
    <row r="98" customFormat="false" ht="15" hidden="false" customHeight="true" outlineLevel="0" collapsed="false">
      <c r="A98" s="24"/>
      <c r="B98" s="24"/>
    </row>
    <row r="99" customFormat="false" ht="15" hidden="false" customHeight="true" outlineLevel="0" collapsed="false">
      <c r="A99" s="24"/>
      <c r="B99" s="24"/>
    </row>
    <row r="100" customFormat="false" ht="15" hidden="false" customHeight="true" outlineLevel="0" collapsed="false">
      <c r="A100" s="24"/>
      <c r="B100" s="24"/>
    </row>
    <row r="101" customFormat="false" ht="15" hidden="false" customHeight="true" outlineLevel="0" collapsed="false">
      <c r="A101" s="24"/>
      <c r="B101" s="24"/>
    </row>
    <row r="102" customFormat="false" ht="15" hidden="false" customHeight="true" outlineLevel="0" collapsed="false">
      <c r="A102" s="24"/>
      <c r="B102" s="24"/>
    </row>
    <row r="103" customFormat="false" ht="15" hidden="false" customHeight="true" outlineLevel="0" collapsed="false">
      <c r="A103" s="24"/>
      <c r="B103" s="24"/>
    </row>
    <row r="104" customFormat="false" ht="15" hidden="false" customHeight="true" outlineLevel="0" collapsed="false">
      <c r="A104" s="24"/>
      <c r="B104" s="24"/>
    </row>
    <row r="105" customFormat="false" ht="15" hidden="false" customHeight="true" outlineLevel="0" collapsed="false">
      <c r="A105" s="24"/>
      <c r="B105" s="24"/>
    </row>
    <row r="106" customFormat="false" ht="15" hidden="false" customHeight="true" outlineLevel="0" collapsed="false">
      <c r="A106" s="24"/>
      <c r="B106" s="24"/>
    </row>
    <row r="107" customFormat="false" ht="15" hidden="false" customHeight="true" outlineLevel="0" collapsed="false">
      <c r="A107" s="24"/>
      <c r="B107" s="24"/>
    </row>
    <row r="108" customFormat="false" ht="15" hidden="false" customHeight="true" outlineLevel="0" collapsed="false">
      <c r="A108" s="24"/>
      <c r="B108" s="24"/>
    </row>
    <row r="109" customFormat="false" ht="15" hidden="false" customHeight="true" outlineLevel="0" collapsed="false">
      <c r="A109" s="24"/>
      <c r="B109" s="24"/>
    </row>
    <row r="110" customFormat="false" ht="15" hidden="false" customHeight="true" outlineLevel="0" collapsed="false">
      <c r="A110" s="24"/>
      <c r="B110" s="24"/>
    </row>
    <row r="111" customFormat="false" ht="15" hidden="false" customHeight="true" outlineLevel="0" collapsed="false">
      <c r="A111" s="24"/>
      <c r="B111" s="24"/>
    </row>
    <row r="112" customFormat="false" ht="15" hidden="false" customHeight="true" outlineLevel="0" collapsed="false">
      <c r="A112" s="24"/>
      <c r="B112" s="24"/>
    </row>
    <row r="113" customFormat="false" ht="15" hidden="false" customHeight="true" outlineLevel="0" collapsed="false">
      <c r="A113" s="24"/>
      <c r="B113" s="24"/>
    </row>
    <row r="114" customFormat="false" ht="15" hidden="false" customHeight="true" outlineLevel="0" collapsed="false">
      <c r="A114" s="24"/>
      <c r="B114" s="24"/>
    </row>
    <row r="115" customFormat="false" ht="15" hidden="false" customHeight="true" outlineLevel="0" collapsed="false">
      <c r="A115" s="24"/>
      <c r="B115" s="24"/>
    </row>
    <row r="116" customFormat="false" ht="15" hidden="false" customHeight="true" outlineLevel="0" collapsed="false">
      <c r="A116" s="24"/>
      <c r="B116" s="24"/>
    </row>
    <row r="117" customFormat="false" ht="15" hidden="false" customHeight="true" outlineLevel="0" collapsed="false">
      <c r="A117" s="24"/>
      <c r="B117" s="24"/>
    </row>
    <row r="118" customFormat="false" ht="15" hidden="false" customHeight="true" outlineLevel="0" collapsed="false">
      <c r="A118" s="24"/>
      <c r="B118" s="24"/>
    </row>
    <row r="119" customFormat="false" ht="15" hidden="false" customHeight="true" outlineLevel="0" collapsed="false">
      <c r="A119" s="24"/>
      <c r="B119" s="24"/>
    </row>
    <row r="120" customFormat="false" ht="15" hidden="false" customHeight="true" outlineLevel="0" collapsed="false">
      <c r="A120" s="24"/>
      <c r="B120" s="24"/>
    </row>
    <row r="121" customFormat="false" ht="15" hidden="false" customHeight="true" outlineLevel="0" collapsed="false">
      <c r="A121" s="24"/>
      <c r="B121" s="24"/>
    </row>
    <row r="122" customFormat="false" ht="15" hidden="false" customHeight="true" outlineLevel="0" collapsed="false">
      <c r="A122" s="24"/>
      <c r="B122" s="24"/>
    </row>
    <row r="123" customFormat="false" ht="15" hidden="false" customHeight="true" outlineLevel="0" collapsed="false">
      <c r="A123" s="24"/>
      <c r="B123" s="24"/>
    </row>
    <row r="124" customFormat="false" ht="15" hidden="false" customHeight="true" outlineLevel="0" collapsed="false">
      <c r="A124" s="24"/>
      <c r="B124" s="24"/>
    </row>
    <row r="125" customFormat="false" ht="15" hidden="false" customHeight="true" outlineLevel="0" collapsed="false">
      <c r="A125" s="24"/>
      <c r="B125" s="24"/>
    </row>
    <row r="126" customFormat="false" ht="15" hidden="false" customHeight="true" outlineLevel="0" collapsed="false">
      <c r="A126" s="24"/>
      <c r="B126" s="24"/>
    </row>
    <row r="127" customFormat="false" ht="15" hidden="false" customHeight="true" outlineLevel="0" collapsed="false">
      <c r="A127" s="24"/>
      <c r="B127" s="24"/>
    </row>
    <row r="128" customFormat="false" ht="15" hidden="false" customHeight="true" outlineLevel="0" collapsed="false">
      <c r="A128" s="24"/>
      <c r="B128" s="24"/>
    </row>
    <row r="129" customFormat="false" ht="15" hidden="false" customHeight="true" outlineLevel="0" collapsed="false">
      <c r="A129" s="24"/>
      <c r="B129" s="24"/>
    </row>
    <row r="130" customFormat="false" ht="15" hidden="false" customHeight="true" outlineLevel="0" collapsed="false">
      <c r="A130" s="24"/>
      <c r="B130" s="24"/>
    </row>
    <row r="131" customFormat="false" ht="15" hidden="false" customHeight="true" outlineLevel="0" collapsed="false">
      <c r="A131" s="24"/>
      <c r="B131" s="24"/>
    </row>
    <row r="132" customFormat="false" ht="15" hidden="false" customHeight="true" outlineLevel="0" collapsed="false">
      <c r="A132" s="24"/>
      <c r="B132" s="24"/>
    </row>
    <row r="133" customFormat="false" ht="15" hidden="false" customHeight="true" outlineLevel="0" collapsed="false">
      <c r="A133" s="24"/>
      <c r="B133" s="24"/>
    </row>
    <row r="134" customFormat="false" ht="15" hidden="false" customHeight="true" outlineLevel="0" collapsed="false">
      <c r="A134" s="24"/>
      <c r="B134" s="24"/>
    </row>
    <row r="135" customFormat="false" ht="15" hidden="false" customHeight="true" outlineLevel="0" collapsed="false">
      <c r="A135" s="24"/>
      <c r="B135" s="24"/>
    </row>
    <row r="136" customFormat="false" ht="15" hidden="false" customHeight="true" outlineLevel="0" collapsed="false">
      <c r="A136" s="24"/>
      <c r="B136" s="24"/>
    </row>
    <row r="137" customFormat="false" ht="15" hidden="false" customHeight="true" outlineLevel="0" collapsed="false">
      <c r="A137" s="24"/>
      <c r="B137" s="24"/>
    </row>
    <row r="138" customFormat="false" ht="15" hidden="false" customHeight="true" outlineLevel="0" collapsed="false">
      <c r="A138" s="24"/>
      <c r="B138" s="24"/>
    </row>
    <row r="139" customFormat="false" ht="15" hidden="false" customHeight="true" outlineLevel="0" collapsed="false">
      <c r="A139" s="24"/>
      <c r="B139" s="24"/>
    </row>
    <row r="140" customFormat="false" ht="15" hidden="false" customHeight="true" outlineLevel="0" collapsed="false">
      <c r="A140" s="24"/>
      <c r="B140" s="24"/>
    </row>
    <row r="141" customFormat="false" ht="15" hidden="false" customHeight="true" outlineLevel="0" collapsed="false">
      <c r="A141" s="24"/>
      <c r="B141" s="24"/>
    </row>
    <row r="142" customFormat="false" ht="15" hidden="false" customHeight="true" outlineLevel="0" collapsed="false">
      <c r="A142" s="24"/>
      <c r="B142" s="24"/>
    </row>
    <row r="143" customFormat="false" ht="15" hidden="false" customHeight="true" outlineLevel="0" collapsed="false">
      <c r="A143" s="24"/>
      <c r="B143" s="24"/>
    </row>
    <row r="144" customFormat="false" ht="15" hidden="false" customHeight="true" outlineLevel="0" collapsed="false">
      <c r="A144" s="24"/>
      <c r="B144" s="24"/>
    </row>
    <row r="145" customFormat="false" ht="15" hidden="false" customHeight="true" outlineLevel="0" collapsed="false">
      <c r="A145" s="24"/>
      <c r="B145" s="24"/>
    </row>
    <row r="146" customFormat="false" ht="15" hidden="false" customHeight="true" outlineLevel="0" collapsed="false">
      <c r="A146" s="24"/>
      <c r="B146" s="24"/>
    </row>
    <row r="147" customFormat="false" ht="15" hidden="false" customHeight="true" outlineLevel="0" collapsed="false">
      <c r="A147" s="24"/>
      <c r="B147" s="24"/>
    </row>
    <row r="148" customFormat="false" ht="15" hidden="false" customHeight="true" outlineLevel="0" collapsed="false">
      <c r="A148" s="24"/>
      <c r="B148" s="24"/>
    </row>
    <row r="149" customFormat="false" ht="15" hidden="false" customHeight="true" outlineLevel="0" collapsed="false">
      <c r="A149" s="24"/>
      <c r="B149" s="24"/>
    </row>
    <row r="150" customFormat="false" ht="15" hidden="false" customHeight="true" outlineLevel="0" collapsed="false">
      <c r="A150" s="24"/>
      <c r="B150" s="24"/>
    </row>
    <row r="151" customFormat="false" ht="15" hidden="false" customHeight="true" outlineLevel="0" collapsed="false">
      <c r="A151" s="24"/>
      <c r="B151" s="24"/>
    </row>
    <row r="152" customFormat="false" ht="15" hidden="false" customHeight="true" outlineLevel="0" collapsed="false">
      <c r="A152" s="24"/>
      <c r="B152" s="24"/>
    </row>
    <row r="153" customFormat="false" ht="15" hidden="false" customHeight="true" outlineLevel="0" collapsed="false">
      <c r="A153" s="24"/>
      <c r="B153" s="24"/>
    </row>
    <row r="154" customFormat="false" ht="15" hidden="false" customHeight="true" outlineLevel="0" collapsed="false">
      <c r="A154" s="24"/>
      <c r="B154" s="24"/>
    </row>
    <row r="155" customFormat="false" ht="15" hidden="false" customHeight="true" outlineLevel="0" collapsed="false">
      <c r="A155" s="24"/>
      <c r="B155" s="24"/>
    </row>
    <row r="156" customFormat="false" ht="15" hidden="false" customHeight="true" outlineLevel="0" collapsed="false">
      <c r="A156" s="24"/>
      <c r="B156" s="24"/>
    </row>
    <row r="157" customFormat="false" ht="15" hidden="false" customHeight="true" outlineLevel="0" collapsed="false">
      <c r="A157" s="24"/>
      <c r="B157" s="24"/>
    </row>
    <row r="158" customFormat="false" ht="15" hidden="false" customHeight="true" outlineLevel="0" collapsed="false">
      <c r="A158" s="24"/>
      <c r="B158" s="24"/>
    </row>
    <row r="159" customFormat="false" ht="15" hidden="false" customHeight="true" outlineLevel="0" collapsed="false">
      <c r="A159" s="24"/>
      <c r="B159" s="24"/>
    </row>
    <row r="160" customFormat="false" ht="15" hidden="false" customHeight="true" outlineLevel="0" collapsed="false">
      <c r="A160" s="24"/>
      <c r="B160" s="24"/>
    </row>
    <row r="161" customFormat="false" ht="15" hidden="false" customHeight="true" outlineLevel="0" collapsed="false">
      <c r="A161" s="24"/>
      <c r="B161" s="24"/>
    </row>
    <row r="162" customFormat="false" ht="15" hidden="false" customHeight="true" outlineLevel="0" collapsed="false">
      <c r="A162" s="24"/>
      <c r="B162" s="24"/>
    </row>
    <row r="163" customFormat="false" ht="15" hidden="false" customHeight="true" outlineLevel="0" collapsed="false">
      <c r="A163" s="24"/>
      <c r="B163" s="24"/>
    </row>
    <row r="164" customFormat="false" ht="15" hidden="false" customHeight="true" outlineLevel="0" collapsed="false">
      <c r="A164" s="24"/>
      <c r="B164" s="24"/>
    </row>
    <row r="165" customFormat="false" ht="15" hidden="false" customHeight="true" outlineLevel="0" collapsed="false">
      <c r="A165" s="24"/>
      <c r="B165" s="24"/>
    </row>
    <row r="166" customFormat="false" ht="15" hidden="false" customHeight="true" outlineLevel="0" collapsed="false">
      <c r="A166" s="24"/>
      <c r="B166" s="24"/>
    </row>
    <row r="167" customFormat="false" ht="15" hidden="false" customHeight="true" outlineLevel="0" collapsed="false">
      <c r="A167" s="24"/>
      <c r="B167" s="24"/>
    </row>
    <row r="168" customFormat="false" ht="15" hidden="false" customHeight="true" outlineLevel="0" collapsed="false">
      <c r="A168" s="24"/>
      <c r="B168" s="24"/>
    </row>
    <row r="169" customFormat="false" ht="15" hidden="false" customHeight="true" outlineLevel="0" collapsed="false">
      <c r="A169" s="24"/>
      <c r="B169" s="24"/>
    </row>
    <row r="170" customFormat="false" ht="15" hidden="false" customHeight="true" outlineLevel="0" collapsed="false">
      <c r="A170" s="24"/>
      <c r="B170" s="24"/>
    </row>
    <row r="171" customFormat="false" ht="15" hidden="false" customHeight="true" outlineLevel="0" collapsed="false">
      <c r="A171" s="24"/>
      <c r="B171" s="24"/>
    </row>
    <row r="172" customFormat="false" ht="15" hidden="false" customHeight="true" outlineLevel="0" collapsed="false">
      <c r="A172" s="24"/>
      <c r="B172" s="24"/>
    </row>
    <row r="173" customFormat="false" ht="15" hidden="false" customHeight="true" outlineLevel="0" collapsed="false">
      <c r="A173" s="24"/>
      <c r="B173" s="24"/>
    </row>
    <row r="174" customFormat="false" ht="15" hidden="false" customHeight="true" outlineLevel="0" collapsed="false">
      <c r="A174" s="24"/>
      <c r="B174" s="24"/>
    </row>
    <row r="175" customFormat="false" ht="15" hidden="false" customHeight="true" outlineLevel="0" collapsed="false">
      <c r="A175" s="24"/>
      <c r="B175" s="24"/>
    </row>
    <row r="176" customFormat="false" ht="15" hidden="false" customHeight="true" outlineLevel="0" collapsed="false">
      <c r="A176" s="24"/>
      <c r="B176" s="24"/>
    </row>
    <row r="177" customFormat="false" ht="15" hidden="false" customHeight="true" outlineLevel="0" collapsed="false">
      <c r="A177" s="24"/>
      <c r="B177" s="24"/>
    </row>
    <row r="178" customFormat="false" ht="15" hidden="false" customHeight="true" outlineLevel="0" collapsed="false">
      <c r="A178" s="24"/>
      <c r="B178" s="24"/>
    </row>
    <row r="179" customFormat="false" ht="15" hidden="false" customHeight="true" outlineLevel="0" collapsed="false">
      <c r="A179" s="24"/>
      <c r="B179" s="24"/>
    </row>
    <row r="180" customFormat="false" ht="15" hidden="false" customHeight="true" outlineLevel="0" collapsed="false">
      <c r="A180" s="24"/>
      <c r="B180" s="24"/>
    </row>
    <row r="181" customFormat="false" ht="15" hidden="false" customHeight="true" outlineLevel="0" collapsed="false">
      <c r="A181" s="24"/>
      <c r="B181" s="24"/>
    </row>
    <row r="182" customFormat="false" ht="15" hidden="false" customHeight="true" outlineLevel="0" collapsed="false">
      <c r="A182" s="24"/>
      <c r="B182" s="24"/>
    </row>
    <row r="183" customFormat="false" ht="15" hidden="false" customHeight="true" outlineLevel="0" collapsed="false">
      <c r="A183" s="24"/>
      <c r="B183" s="24"/>
    </row>
    <row r="184" customFormat="false" ht="15" hidden="false" customHeight="true" outlineLevel="0" collapsed="false">
      <c r="A184" s="24"/>
      <c r="B184" s="24"/>
    </row>
    <row r="185" customFormat="false" ht="15" hidden="false" customHeight="true" outlineLevel="0" collapsed="false">
      <c r="A185" s="24"/>
      <c r="B185" s="24"/>
    </row>
    <row r="186" customFormat="false" ht="15" hidden="false" customHeight="true" outlineLevel="0" collapsed="false">
      <c r="A186" s="24"/>
      <c r="B186" s="24"/>
    </row>
    <row r="187" customFormat="false" ht="15" hidden="false" customHeight="true" outlineLevel="0" collapsed="false">
      <c r="A187" s="24"/>
      <c r="B187" s="24"/>
    </row>
    <row r="188" customFormat="false" ht="15" hidden="false" customHeight="true" outlineLevel="0" collapsed="false">
      <c r="A188" s="24"/>
      <c r="B188" s="24"/>
    </row>
    <row r="189" customFormat="false" ht="15" hidden="false" customHeight="true" outlineLevel="0" collapsed="false">
      <c r="A189" s="24"/>
      <c r="B189" s="24"/>
    </row>
    <row r="190" customFormat="false" ht="15" hidden="false" customHeight="true" outlineLevel="0" collapsed="false">
      <c r="A190" s="24"/>
      <c r="B190" s="24"/>
    </row>
    <row r="191" customFormat="false" ht="15" hidden="false" customHeight="true" outlineLevel="0" collapsed="false">
      <c r="A191" s="24"/>
      <c r="B191" s="24"/>
    </row>
    <row r="192" customFormat="false" ht="15" hidden="false" customHeight="true" outlineLevel="0" collapsed="false">
      <c r="A192" s="24"/>
      <c r="B192" s="24"/>
    </row>
    <row r="193" customFormat="false" ht="15" hidden="false" customHeight="true" outlineLevel="0" collapsed="false">
      <c r="A193" s="24"/>
      <c r="B193" s="24"/>
    </row>
    <row r="194" customFormat="false" ht="15" hidden="false" customHeight="true" outlineLevel="0" collapsed="false">
      <c r="A194" s="24"/>
      <c r="B194" s="24"/>
    </row>
    <row r="195" customFormat="false" ht="15" hidden="false" customHeight="true" outlineLevel="0" collapsed="false">
      <c r="A195" s="24"/>
      <c r="B195" s="24"/>
    </row>
    <row r="196" customFormat="false" ht="15" hidden="false" customHeight="true" outlineLevel="0" collapsed="false">
      <c r="A196" s="24"/>
      <c r="B196" s="24"/>
    </row>
    <row r="197" customFormat="false" ht="15" hidden="false" customHeight="true" outlineLevel="0" collapsed="false">
      <c r="A197" s="24"/>
      <c r="B197" s="24"/>
    </row>
    <row r="198" customFormat="false" ht="15" hidden="false" customHeight="true" outlineLevel="0" collapsed="false">
      <c r="A198" s="24"/>
      <c r="B198" s="24"/>
    </row>
    <row r="199" customFormat="false" ht="15" hidden="false" customHeight="true" outlineLevel="0" collapsed="false">
      <c r="A199" s="24"/>
      <c r="B199" s="24"/>
    </row>
    <row r="200" customFormat="false" ht="15" hidden="false" customHeight="true" outlineLevel="0" collapsed="false">
      <c r="A200" s="24"/>
      <c r="B200" s="2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38"/>
    <col collapsed="false" customWidth="true" hidden="false" outlineLevel="0" max="2" min="2" style="1" width="13.13"/>
    <col collapsed="false" customWidth="true" hidden="false" outlineLevel="0" max="3" min="3" style="1" width="24"/>
    <col collapsed="false" customWidth="true" hidden="false" outlineLevel="0" max="4" min="4" style="1" width="18.75"/>
    <col collapsed="false" customWidth="true" hidden="false" outlineLevel="0" max="5" min="5" style="1" width="206.88"/>
    <col collapsed="false" customWidth="true" hidden="false" outlineLevel="0" max="6" min="6" style="1" width="14.75"/>
  </cols>
  <sheetData>
    <row r="1" customFormat="false" ht="30" hidden="false" customHeight="true" outlineLevel="0" collapsed="false">
      <c r="A1" s="10" t="s">
        <v>506</v>
      </c>
      <c r="B1" s="10" t="s">
        <v>507</v>
      </c>
      <c r="C1" s="10" t="s">
        <v>508</v>
      </c>
      <c r="D1" s="10" t="s">
        <v>509</v>
      </c>
      <c r="E1" s="10" t="s">
        <v>510</v>
      </c>
      <c r="F1" s="10" t="s">
        <v>511</v>
      </c>
    </row>
    <row r="2" customFormat="false" ht="30" hidden="false" customHeight="true" outlineLevel="0" collapsed="false">
      <c r="A2" s="24" t="s">
        <v>512</v>
      </c>
      <c r="B2" s="24" t="s">
        <v>513</v>
      </c>
      <c r="C2" s="24" t="s">
        <v>514</v>
      </c>
      <c r="D2" s="24" t="s">
        <v>515</v>
      </c>
      <c r="E2" s="24" t="s">
        <v>516</v>
      </c>
      <c r="F2" s="26" t="s">
        <v>517</v>
      </c>
    </row>
    <row r="3" customFormat="false" ht="27.75" hidden="false" customHeight="true" outlineLevel="0" collapsed="false">
      <c r="A3" s="24" t="s">
        <v>518</v>
      </c>
      <c r="B3" s="24" t="s">
        <v>513</v>
      </c>
      <c r="C3" s="24" t="s">
        <v>519</v>
      </c>
      <c r="D3" s="24" t="s">
        <v>520</v>
      </c>
      <c r="E3" s="24" t="s">
        <v>521</v>
      </c>
      <c r="F3" s="26" t="s">
        <v>522</v>
      </c>
    </row>
    <row r="4" customFormat="false" ht="27.75" hidden="false" customHeight="true" outlineLevel="0" collapsed="false">
      <c r="A4" s="24" t="s">
        <v>523</v>
      </c>
      <c r="B4" s="24" t="s">
        <v>513</v>
      </c>
      <c r="C4" s="24" t="s">
        <v>524</v>
      </c>
      <c r="D4" s="24" t="s">
        <v>520</v>
      </c>
      <c r="E4" s="24" t="s">
        <v>525</v>
      </c>
      <c r="F4" s="26" t="s">
        <v>522</v>
      </c>
    </row>
    <row r="5" customFormat="false" ht="30" hidden="false" customHeight="true" outlineLevel="0" collapsed="false">
      <c r="A5" s="24" t="s">
        <v>526</v>
      </c>
      <c r="B5" s="24" t="s">
        <v>513</v>
      </c>
      <c r="C5" s="24" t="s">
        <v>527</v>
      </c>
      <c r="D5" s="24" t="s">
        <v>520</v>
      </c>
      <c r="E5" s="24" t="s">
        <v>528</v>
      </c>
      <c r="F5" s="26" t="s">
        <v>522</v>
      </c>
    </row>
    <row r="6" customFormat="false" ht="27.75" hidden="false" customHeight="true" outlineLevel="0" collapsed="false">
      <c r="A6" s="24" t="s">
        <v>529</v>
      </c>
      <c r="B6" s="24" t="s">
        <v>513</v>
      </c>
      <c r="C6" s="24" t="s">
        <v>530</v>
      </c>
      <c r="D6" s="24" t="s">
        <v>531</v>
      </c>
      <c r="E6" s="26" t="s">
        <v>532</v>
      </c>
      <c r="F6" s="26" t="s">
        <v>522</v>
      </c>
    </row>
    <row r="7" customFormat="false" ht="27.75" hidden="false" customHeight="true" outlineLevel="0" collapsed="false">
      <c r="A7" s="24" t="s">
        <v>533</v>
      </c>
      <c r="B7" s="24" t="s">
        <v>513</v>
      </c>
      <c r="C7" s="24" t="s">
        <v>534</v>
      </c>
      <c r="D7" s="24" t="s">
        <v>535</v>
      </c>
      <c r="E7" s="26" t="s">
        <v>536</v>
      </c>
      <c r="F7" s="26" t="s">
        <v>537</v>
      </c>
    </row>
    <row r="8" customFormat="false" ht="16.5" hidden="false" customHeight="true" outlineLevel="0" collapsed="false">
      <c r="A8" s="24" t="s">
        <v>538</v>
      </c>
      <c r="B8" s="24" t="s">
        <v>539</v>
      </c>
      <c r="C8" s="24" t="s">
        <v>540</v>
      </c>
      <c r="D8" s="24" t="s">
        <v>541</v>
      </c>
      <c r="E8" s="24" t="s">
        <v>542</v>
      </c>
      <c r="F8" s="26" t="s">
        <v>543</v>
      </c>
    </row>
    <row r="9" customFormat="false" ht="16.5" hidden="false" customHeight="true" outlineLevel="0" collapsed="false">
      <c r="A9" s="24" t="s">
        <v>544</v>
      </c>
      <c r="B9" s="24" t="s">
        <v>545</v>
      </c>
      <c r="C9" s="24" t="s">
        <v>546</v>
      </c>
      <c r="D9" s="24" t="s">
        <v>547</v>
      </c>
      <c r="E9" s="26" t="s">
        <v>548</v>
      </c>
      <c r="F9" s="26" t="s">
        <v>549</v>
      </c>
    </row>
    <row r="10" customFormat="false" ht="27.75" hidden="false" customHeight="true" outlineLevel="0" collapsed="false">
      <c r="A10" s="24" t="s">
        <v>550</v>
      </c>
      <c r="B10" s="24" t="s">
        <v>551</v>
      </c>
      <c r="C10" s="24" t="s">
        <v>552</v>
      </c>
      <c r="D10" s="24" t="s">
        <v>553</v>
      </c>
      <c r="E10" s="24" t="s">
        <v>554</v>
      </c>
      <c r="F10" s="26" t="s">
        <v>522</v>
      </c>
    </row>
    <row r="11" customFormat="false" ht="27.75" hidden="false" customHeight="true" outlineLevel="0" collapsed="false">
      <c r="A11" s="24" t="s">
        <v>555</v>
      </c>
      <c r="B11" s="24" t="s">
        <v>556</v>
      </c>
      <c r="C11" s="24" t="s">
        <v>557</v>
      </c>
      <c r="D11" s="24" t="s">
        <v>558</v>
      </c>
      <c r="E11" s="24" t="s">
        <v>559</v>
      </c>
      <c r="F11" s="26" t="s">
        <v>560</v>
      </c>
    </row>
    <row r="12" customFormat="false" ht="16.5" hidden="false" customHeight="true" outlineLevel="0" collapsed="false">
      <c r="A12" s="24" t="s">
        <v>561</v>
      </c>
      <c r="B12" s="24" t="s">
        <v>562</v>
      </c>
      <c r="C12" s="24" t="s">
        <v>563</v>
      </c>
      <c r="D12" s="24" t="s">
        <v>564</v>
      </c>
      <c r="E12" s="24" t="s">
        <v>565</v>
      </c>
      <c r="F12" s="26" t="s">
        <v>566</v>
      </c>
    </row>
    <row r="13" customFormat="false" ht="27.75" hidden="false" customHeight="true" outlineLevel="0" collapsed="false">
      <c r="A13" s="24" t="s">
        <v>567</v>
      </c>
      <c r="B13" s="24" t="s">
        <v>568</v>
      </c>
      <c r="C13" s="24" t="s">
        <v>569</v>
      </c>
      <c r="D13" s="24" t="s">
        <v>564</v>
      </c>
      <c r="E13" s="24" t="s">
        <v>570</v>
      </c>
      <c r="F13" s="26" t="s">
        <v>566</v>
      </c>
    </row>
    <row r="14" customFormat="false" ht="16.5" hidden="false" customHeight="true" outlineLevel="0" collapsed="false">
      <c r="A14" s="24" t="s">
        <v>571</v>
      </c>
      <c r="B14" s="24" t="s">
        <v>572</v>
      </c>
      <c r="C14" s="24" t="s">
        <v>557</v>
      </c>
      <c r="D14" s="24" t="s">
        <v>558</v>
      </c>
      <c r="E14" s="26" t="s">
        <v>573</v>
      </c>
      <c r="F14" s="26" t="s">
        <v>566</v>
      </c>
    </row>
    <row r="15" customFormat="false" ht="16.5" hidden="false" customHeight="true" outlineLevel="0" collapsed="false">
      <c r="A15" s="24" t="s">
        <v>574</v>
      </c>
      <c r="B15" s="24" t="s">
        <v>575</v>
      </c>
      <c r="C15" s="24" t="s">
        <v>507</v>
      </c>
      <c r="D15" s="24" t="s">
        <v>576</v>
      </c>
      <c r="E15" s="26" t="s">
        <v>577</v>
      </c>
      <c r="F15" s="24" t="s">
        <v>578</v>
      </c>
    </row>
    <row r="16" customFormat="false" ht="16.5" hidden="false" customHeight="true" outlineLevel="0" collapsed="false">
      <c r="A16" s="24" t="s">
        <v>579</v>
      </c>
      <c r="B16" s="24" t="s">
        <v>575</v>
      </c>
      <c r="C16" s="24" t="s">
        <v>580</v>
      </c>
      <c r="D16" s="24" t="s">
        <v>581</v>
      </c>
      <c r="E16" s="24" t="s">
        <v>582</v>
      </c>
      <c r="F16" s="24" t="s">
        <v>578</v>
      </c>
    </row>
    <row r="17" customFormat="false" ht="16.5" hidden="false" customHeight="true" outlineLevel="0" collapsed="false">
      <c r="A17" s="24" t="s">
        <v>583</v>
      </c>
      <c r="B17" s="24" t="s">
        <v>575</v>
      </c>
      <c r="C17" s="24" t="s">
        <v>584</v>
      </c>
      <c r="D17" s="24" t="s">
        <v>585</v>
      </c>
      <c r="E17" s="24" t="s">
        <v>586</v>
      </c>
      <c r="F17" s="24" t="s">
        <v>578</v>
      </c>
    </row>
    <row r="18" customFormat="false" ht="16.5" hidden="false" customHeight="true" outlineLevel="0" collapsed="false">
      <c r="A18" s="24" t="s">
        <v>587</v>
      </c>
      <c r="B18" s="24" t="s">
        <v>575</v>
      </c>
      <c r="C18" s="24" t="s">
        <v>588</v>
      </c>
      <c r="D18" s="24" t="s">
        <v>589</v>
      </c>
      <c r="E18" s="24" t="s">
        <v>590</v>
      </c>
      <c r="F18" s="24" t="s">
        <v>578</v>
      </c>
    </row>
    <row r="19" customFormat="false" ht="16.5" hidden="false" customHeight="true" outlineLevel="0" collapsed="false">
      <c r="A19" s="24" t="s">
        <v>591</v>
      </c>
      <c r="B19" s="24" t="s">
        <v>575</v>
      </c>
      <c r="C19" s="24" t="s">
        <v>592</v>
      </c>
      <c r="D19" s="24" t="s">
        <v>585</v>
      </c>
      <c r="E19" s="26" t="s">
        <v>593</v>
      </c>
      <c r="F19" s="24" t="s">
        <v>578</v>
      </c>
    </row>
    <row r="20" customFormat="false" ht="16.5" hidden="false" customHeight="true" outlineLevel="0" collapsed="false">
      <c r="A20" s="24" t="s">
        <v>594</v>
      </c>
      <c r="B20" s="24" t="s">
        <v>539</v>
      </c>
      <c r="C20" s="24" t="s">
        <v>584</v>
      </c>
      <c r="D20" s="24" t="s">
        <v>595</v>
      </c>
      <c r="E20" s="24" t="s">
        <v>596</v>
      </c>
      <c r="F20" s="24" t="s">
        <v>578</v>
      </c>
    </row>
    <row r="21" customFormat="false" ht="27.75" hidden="false" customHeight="true" outlineLevel="0" collapsed="false">
      <c r="A21" s="24" t="s">
        <v>597</v>
      </c>
      <c r="B21" s="24" t="s">
        <v>568</v>
      </c>
      <c r="C21" s="24" t="s">
        <v>598</v>
      </c>
      <c r="D21" s="24" t="s">
        <v>599</v>
      </c>
      <c r="E21" s="24" t="s">
        <v>600</v>
      </c>
      <c r="F21" s="24" t="s">
        <v>578</v>
      </c>
    </row>
    <row r="22" customFormat="false" ht="16.5" hidden="false" customHeight="true" outlineLevel="0" collapsed="false">
      <c r="A22" s="24" t="s">
        <v>601</v>
      </c>
      <c r="B22" s="24" t="s">
        <v>602</v>
      </c>
      <c r="C22" s="24" t="s">
        <v>603</v>
      </c>
      <c r="D22" s="24" t="s">
        <v>310</v>
      </c>
      <c r="E22" s="26" t="s">
        <v>604</v>
      </c>
      <c r="F22" s="24" t="s">
        <v>578</v>
      </c>
    </row>
    <row r="23" customFormat="false" ht="16.5" hidden="false" customHeight="true" outlineLevel="0" collapsed="false">
      <c r="A23" s="24" t="s">
        <v>605</v>
      </c>
      <c r="B23" s="24" t="s">
        <v>551</v>
      </c>
      <c r="C23" s="24" t="s">
        <v>449</v>
      </c>
      <c r="D23" s="24" t="s">
        <v>595</v>
      </c>
      <c r="E23" s="26" t="s">
        <v>606</v>
      </c>
      <c r="F23" s="24" t="s">
        <v>578</v>
      </c>
    </row>
    <row r="24" customFormat="false" ht="16.5" hidden="false" customHeight="true" outlineLevel="0" collapsed="false">
      <c r="A24" s="24" t="s">
        <v>607</v>
      </c>
      <c r="B24" s="24" t="s">
        <v>575</v>
      </c>
      <c r="C24" s="24" t="s">
        <v>608</v>
      </c>
      <c r="D24" s="24" t="s">
        <v>609</v>
      </c>
      <c r="E24" s="24" t="s">
        <v>610</v>
      </c>
      <c r="F24" s="24" t="s">
        <v>578</v>
      </c>
    </row>
    <row r="25" customFormat="false" ht="16.5" hidden="false" customHeight="true" outlineLevel="0" collapsed="false">
      <c r="A25" s="24" t="s">
        <v>611</v>
      </c>
      <c r="B25" s="24" t="s">
        <v>575</v>
      </c>
      <c r="C25" s="24" t="s">
        <v>612</v>
      </c>
      <c r="D25" s="24" t="s">
        <v>613</v>
      </c>
      <c r="E25" s="26" t="s">
        <v>614</v>
      </c>
      <c r="F25" s="24" t="s">
        <v>578</v>
      </c>
    </row>
    <row r="26" customFormat="false" ht="27.75" hidden="false" customHeight="true" outlineLevel="0" collapsed="false">
      <c r="A26" s="24" t="s">
        <v>615</v>
      </c>
      <c r="B26" s="24" t="s">
        <v>616</v>
      </c>
      <c r="C26" s="24" t="s">
        <v>617</v>
      </c>
      <c r="D26" s="24" t="s">
        <v>599</v>
      </c>
      <c r="E26" s="26" t="s">
        <v>618</v>
      </c>
      <c r="F26" s="24" t="s">
        <v>578</v>
      </c>
    </row>
    <row r="27" customFormat="false" ht="15" hidden="false" customHeight="true" outlineLevel="0" collapsed="false">
      <c r="A27" s="24" t="s">
        <v>619</v>
      </c>
      <c r="B27" s="24" t="s">
        <v>575</v>
      </c>
      <c r="C27" s="24" t="s">
        <v>620</v>
      </c>
      <c r="D27" s="24" t="s">
        <v>621</v>
      </c>
      <c r="E27" s="24" t="s">
        <v>622</v>
      </c>
      <c r="F27" s="24" t="s">
        <v>484</v>
      </c>
    </row>
    <row r="28" customFormat="false" ht="15" hidden="false" customHeight="true" outlineLevel="0" collapsed="false">
      <c r="A28" s="24" t="s">
        <v>623</v>
      </c>
      <c r="B28" s="24" t="s">
        <v>551</v>
      </c>
      <c r="C28" s="24" t="s">
        <v>624</v>
      </c>
      <c r="D28" s="24" t="s">
        <v>595</v>
      </c>
      <c r="E28" s="33" t="s">
        <v>625</v>
      </c>
      <c r="F28" s="24" t="s">
        <v>484</v>
      </c>
    </row>
    <row r="29" customFormat="false" ht="15" hidden="false" customHeight="true" outlineLevel="0" collapsed="false">
      <c r="A29" s="24" t="s">
        <v>626</v>
      </c>
      <c r="B29" s="24" t="s">
        <v>616</v>
      </c>
      <c r="C29" s="24" t="s">
        <v>617</v>
      </c>
      <c r="D29" s="24" t="s">
        <v>599</v>
      </c>
      <c r="E29" s="33" t="s">
        <v>627</v>
      </c>
      <c r="F29" s="24" t="s">
        <v>484</v>
      </c>
    </row>
    <row r="30" customFormat="false" ht="15" hidden="false" customHeight="true" outlineLevel="0" collapsed="false">
      <c r="A30" s="24"/>
      <c r="B30" s="24"/>
      <c r="C30" s="24"/>
      <c r="D30" s="24"/>
      <c r="E30" s="24"/>
      <c r="F30" s="24"/>
    </row>
    <row r="31" customFormat="false" ht="15" hidden="false" customHeight="true" outlineLevel="0" collapsed="false">
      <c r="A31" s="24"/>
      <c r="B31" s="24"/>
      <c r="C31" s="24"/>
      <c r="D31" s="24"/>
      <c r="E31" s="24"/>
      <c r="F31" s="24"/>
    </row>
    <row r="32" customFormat="false" ht="15" hidden="false" customHeight="true" outlineLevel="0" collapsed="false">
      <c r="A32" s="24"/>
      <c r="B32" s="24"/>
      <c r="C32" s="24"/>
      <c r="D32" s="24"/>
      <c r="E32" s="24"/>
      <c r="F32" s="24"/>
    </row>
    <row r="33" customFormat="false" ht="15" hidden="false" customHeight="true" outlineLevel="0" collapsed="false">
      <c r="A33" s="24"/>
      <c r="B33" s="24"/>
      <c r="C33" s="24"/>
      <c r="D33" s="24"/>
      <c r="E33" s="24"/>
      <c r="F33" s="24"/>
    </row>
    <row r="34" customFormat="false" ht="15" hidden="false" customHeight="true" outlineLevel="0" collapsed="false">
      <c r="A34" s="24"/>
      <c r="B34" s="24"/>
      <c r="C34" s="24"/>
      <c r="D34" s="24"/>
      <c r="E34" s="24"/>
      <c r="F34" s="24"/>
    </row>
    <row r="35" customFormat="false" ht="15" hidden="false" customHeight="true" outlineLevel="0" collapsed="false">
      <c r="A35" s="24"/>
      <c r="B35" s="24"/>
      <c r="C35" s="24"/>
      <c r="D35" s="24"/>
      <c r="E35" s="24"/>
      <c r="F35" s="24"/>
    </row>
    <row r="36" customFormat="false" ht="15" hidden="false" customHeight="true" outlineLevel="0" collapsed="false">
      <c r="A36" s="24"/>
      <c r="B36" s="24"/>
      <c r="C36" s="24"/>
      <c r="D36" s="24"/>
      <c r="E36" s="24"/>
      <c r="F36" s="24"/>
    </row>
    <row r="37" customFormat="false" ht="15" hidden="false" customHeight="true" outlineLevel="0" collapsed="false">
      <c r="A37" s="24"/>
      <c r="B37" s="24"/>
      <c r="C37" s="24"/>
      <c r="D37" s="24"/>
      <c r="E37" s="24"/>
      <c r="F37" s="24"/>
    </row>
    <row r="38" customFormat="false" ht="15" hidden="false" customHeight="true" outlineLevel="0" collapsed="false">
      <c r="A38" s="24"/>
      <c r="B38" s="24"/>
      <c r="C38" s="24"/>
      <c r="D38" s="24"/>
      <c r="E38" s="24"/>
      <c r="F38" s="24"/>
    </row>
    <row r="39" customFormat="false" ht="15" hidden="false" customHeight="true" outlineLevel="0" collapsed="false">
      <c r="A39" s="24"/>
      <c r="B39" s="24"/>
      <c r="C39" s="24"/>
      <c r="D39" s="24"/>
      <c r="E39" s="24"/>
      <c r="F39" s="24"/>
    </row>
    <row r="40" customFormat="false" ht="15" hidden="false" customHeight="true" outlineLevel="0" collapsed="false">
      <c r="A40" s="24"/>
      <c r="B40" s="24"/>
      <c r="C40" s="24"/>
      <c r="D40" s="24"/>
      <c r="E40" s="24"/>
      <c r="F40" s="24"/>
    </row>
    <row r="41" customFormat="false" ht="15" hidden="false" customHeight="true" outlineLevel="0" collapsed="false">
      <c r="A41" s="24"/>
      <c r="B41" s="24"/>
      <c r="C41" s="24"/>
      <c r="D41" s="24"/>
      <c r="E41" s="24"/>
      <c r="F41" s="24"/>
    </row>
    <row r="42" customFormat="false" ht="15" hidden="false" customHeight="true" outlineLevel="0" collapsed="false">
      <c r="A42" s="24"/>
      <c r="B42" s="24"/>
      <c r="C42" s="24"/>
      <c r="D42" s="24"/>
      <c r="E42" s="24"/>
      <c r="F42" s="24"/>
    </row>
    <row r="43" customFormat="false" ht="15" hidden="false" customHeight="true" outlineLevel="0" collapsed="false">
      <c r="A43" s="24"/>
      <c r="B43" s="24"/>
      <c r="C43" s="24"/>
      <c r="D43" s="24"/>
      <c r="E43" s="24"/>
      <c r="F43" s="24"/>
    </row>
    <row r="44" customFormat="false" ht="15" hidden="false" customHeight="true" outlineLevel="0" collapsed="false">
      <c r="A44" s="24"/>
      <c r="B44" s="24"/>
      <c r="C44" s="24"/>
      <c r="D44" s="24"/>
      <c r="E44" s="24"/>
      <c r="F44" s="24"/>
    </row>
    <row r="45" customFormat="false" ht="15" hidden="false" customHeight="true" outlineLevel="0" collapsed="false">
      <c r="A45" s="24"/>
      <c r="B45" s="24"/>
      <c r="C45" s="24"/>
      <c r="D45" s="24"/>
      <c r="E45" s="24"/>
      <c r="F45" s="24"/>
    </row>
    <row r="46" customFormat="false" ht="15" hidden="false" customHeight="true" outlineLevel="0" collapsed="false">
      <c r="A46" s="24"/>
      <c r="B46" s="24"/>
      <c r="C46" s="24"/>
      <c r="D46" s="24"/>
      <c r="E46" s="24"/>
      <c r="F46" s="24"/>
    </row>
    <row r="47" customFormat="false" ht="15" hidden="false" customHeight="true" outlineLevel="0" collapsed="false">
      <c r="A47" s="24"/>
      <c r="B47" s="24"/>
      <c r="C47" s="24"/>
      <c r="D47" s="24"/>
      <c r="E47" s="24"/>
      <c r="F47" s="24"/>
    </row>
    <row r="48" customFormat="false" ht="15" hidden="false" customHeight="true" outlineLevel="0" collapsed="false">
      <c r="A48" s="24"/>
      <c r="B48" s="24"/>
      <c r="C48" s="24"/>
      <c r="D48" s="24"/>
      <c r="E48" s="24"/>
      <c r="F48" s="24"/>
    </row>
    <row r="49" customFormat="false" ht="15" hidden="false" customHeight="true" outlineLevel="0" collapsed="false">
      <c r="A49" s="24"/>
      <c r="B49" s="24"/>
      <c r="C49" s="24"/>
      <c r="D49" s="24"/>
      <c r="E49" s="24"/>
      <c r="F49" s="24"/>
    </row>
    <row r="50" customFormat="false" ht="15" hidden="false" customHeight="true" outlineLevel="0" collapsed="false">
      <c r="A50" s="24"/>
      <c r="B50" s="24"/>
      <c r="C50" s="24"/>
      <c r="D50" s="24"/>
      <c r="E50" s="24"/>
      <c r="F50" s="24"/>
    </row>
    <row r="51" customFormat="false" ht="15" hidden="false" customHeight="true" outlineLevel="0" collapsed="false">
      <c r="A51" s="24"/>
      <c r="B51" s="24"/>
      <c r="C51" s="24"/>
      <c r="D51" s="24"/>
      <c r="E51" s="24"/>
      <c r="F51" s="24"/>
    </row>
    <row r="52" customFormat="false" ht="15" hidden="false" customHeight="true" outlineLevel="0" collapsed="false">
      <c r="A52" s="24"/>
      <c r="B52" s="24"/>
      <c r="C52" s="24"/>
      <c r="D52" s="24"/>
      <c r="E52" s="24"/>
      <c r="F52" s="24"/>
    </row>
    <row r="53" customFormat="false" ht="15" hidden="false" customHeight="true" outlineLevel="0" collapsed="false">
      <c r="A53" s="24"/>
      <c r="B53" s="24"/>
      <c r="C53" s="24"/>
      <c r="D53" s="24"/>
      <c r="E53" s="24"/>
      <c r="F53" s="24"/>
    </row>
    <row r="54" customFormat="false" ht="15" hidden="false" customHeight="true" outlineLevel="0" collapsed="false">
      <c r="A54" s="24"/>
      <c r="B54" s="24"/>
      <c r="C54" s="24"/>
      <c r="D54" s="24"/>
      <c r="E54" s="24"/>
      <c r="F54" s="24"/>
    </row>
    <row r="55" customFormat="false" ht="15" hidden="false" customHeight="true" outlineLevel="0" collapsed="false">
      <c r="A55" s="24"/>
      <c r="B55" s="24"/>
      <c r="C55" s="24"/>
      <c r="D55" s="24"/>
      <c r="E55" s="24"/>
      <c r="F55" s="24"/>
    </row>
    <row r="56" customFormat="false" ht="15" hidden="false" customHeight="true" outlineLevel="0" collapsed="false">
      <c r="A56" s="24"/>
      <c r="B56" s="24"/>
      <c r="C56" s="24"/>
      <c r="D56" s="24"/>
      <c r="E56" s="24"/>
      <c r="F56" s="24"/>
    </row>
    <row r="57" customFormat="false" ht="15" hidden="false" customHeight="true" outlineLevel="0" collapsed="false">
      <c r="A57" s="24"/>
      <c r="B57" s="24"/>
      <c r="C57" s="24"/>
      <c r="D57" s="24"/>
      <c r="E57" s="24"/>
      <c r="F57" s="24"/>
    </row>
    <row r="58" customFormat="false" ht="15" hidden="false" customHeight="true" outlineLevel="0" collapsed="false">
      <c r="A58" s="24"/>
      <c r="B58" s="24"/>
      <c r="C58" s="24"/>
      <c r="D58" s="24"/>
      <c r="E58" s="24"/>
      <c r="F58" s="24"/>
    </row>
    <row r="59" customFormat="false" ht="15" hidden="false" customHeight="true" outlineLevel="0" collapsed="false">
      <c r="A59" s="24"/>
      <c r="B59" s="24"/>
      <c r="C59" s="24"/>
      <c r="D59" s="24"/>
      <c r="E59" s="24"/>
      <c r="F59" s="24"/>
    </row>
    <row r="60" customFormat="false" ht="15" hidden="false" customHeight="true" outlineLevel="0" collapsed="false">
      <c r="A60" s="24"/>
      <c r="B60" s="24"/>
      <c r="C60" s="24"/>
      <c r="D60" s="24"/>
      <c r="E60" s="24"/>
      <c r="F60" s="24"/>
    </row>
    <row r="61" customFormat="false" ht="15" hidden="false" customHeight="true" outlineLevel="0" collapsed="false">
      <c r="A61" s="24"/>
      <c r="B61" s="24"/>
      <c r="C61" s="24"/>
      <c r="D61" s="24"/>
      <c r="E61" s="24"/>
      <c r="F61" s="24"/>
    </row>
    <row r="62" customFormat="false" ht="15" hidden="false" customHeight="true" outlineLevel="0" collapsed="false">
      <c r="A62" s="24"/>
      <c r="B62" s="24"/>
      <c r="C62" s="24"/>
      <c r="D62" s="24"/>
      <c r="E62" s="24"/>
      <c r="F62" s="24"/>
    </row>
    <row r="63" customFormat="false" ht="15" hidden="false" customHeight="true" outlineLevel="0" collapsed="false">
      <c r="A63" s="24"/>
      <c r="B63" s="24"/>
      <c r="C63" s="24"/>
      <c r="D63" s="24"/>
      <c r="E63" s="24"/>
      <c r="F63" s="24"/>
    </row>
    <row r="64" customFormat="false" ht="15" hidden="false" customHeight="true" outlineLevel="0" collapsed="false">
      <c r="A64" s="24"/>
      <c r="B64" s="24"/>
      <c r="C64" s="24"/>
      <c r="D64" s="24"/>
      <c r="E64" s="24"/>
      <c r="F64" s="24"/>
    </row>
    <row r="65" customFormat="false" ht="15" hidden="false" customHeight="true" outlineLevel="0" collapsed="false">
      <c r="A65" s="24"/>
      <c r="B65" s="24"/>
      <c r="C65" s="24"/>
      <c r="D65" s="24"/>
      <c r="E65" s="24"/>
      <c r="F65" s="24"/>
    </row>
    <row r="66" customFormat="false" ht="15" hidden="false" customHeight="true" outlineLevel="0" collapsed="false">
      <c r="A66" s="24"/>
      <c r="B66" s="24"/>
      <c r="C66" s="24"/>
      <c r="D66" s="24"/>
      <c r="E66" s="24"/>
      <c r="F66" s="24"/>
    </row>
    <row r="67" customFormat="false" ht="15" hidden="false" customHeight="true" outlineLevel="0" collapsed="false">
      <c r="A67" s="24"/>
      <c r="B67" s="24"/>
      <c r="C67" s="24"/>
      <c r="D67" s="24"/>
      <c r="E67" s="24"/>
      <c r="F67" s="24"/>
    </row>
    <row r="68" customFormat="false" ht="15" hidden="false" customHeight="true" outlineLevel="0" collapsed="false">
      <c r="A68" s="24"/>
      <c r="B68" s="24"/>
      <c r="C68" s="24"/>
      <c r="D68" s="24"/>
      <c r="E68" s="24"/>
      <c r="F68" s="24"/>
    </row>
    <row r="69" customFormat="false" ht="15" hidden="false" customHeight="true" outlineLevel="0" collapsed="false">
      <c r="A69" s="24"/>
      <c r="B69" s="24"/>
      <c r="C69" s="24"/>
      <c r="D69" s="24"/>
      <c r="E69" s="24"/>
      <c r="F69" s="24"/>
    </row>
    <row r="70" customFormat="false" ht="15" hidden="false" customHeight="true" outlineLevel="0" collapsed="false">
      <c r="A70" s="24"/>
      <c r="B70" s="24"/>
      <c r="C70" s="24"/>
      <c r="D70" s="24"/>
      <c r="E70" s="24"/>
      <c r="F70" s="24"/>
    </row>
    <row r="71" customFormat="false" ht="15" hidden="false" customHeight="true" outlineLevel="0" collapsed="false">
      <c r="A71" s="24"/>
      <c r="B71" s="24"/>
      <c r="C71" s="24"/>
      <c r="D71" s="24"/>
      <c r="E71" s="24"/>
      <c r="F71" s="24"/>
    </row>
    <row r="72" customFormat="false" ht="15" hidden="false" customHeight="true" outlineLevel="0" collapsed="false">
      <c r="A72" s="24"/>
      <c r="B72" s="24"/>
      <c r="C72" s="24"/>
      <c r="D72" s="24"/>
      <c r="E72" s="24"/>
      <c r="F72" s="24"/>
    </row>
    <row r="73" customFormat="false" ht="15" hidden="false" customHeight="true" outlineLevel="0" collapsed="false">
      <c r="A73" s="24"/>
      <c r="B73" s="24"/>
      <c r="C73" s="24"/>
      <c r="D73" s="24"/>
      <c r="E73" s="24"/>
      <c r="F73" s="24"/>
    </row>
    <row r="74" customFormat="false" ht="15" hidden="false" customHeight="true" outlineLevel="0" collapsed="false">
      <c r="A74" s="24"/>
      <c r="B74" s="24"/>
      <c r="C74" s="24"/>
      <c r="D74" s="24"/>
      <c r="E74" s="24"/>
      <c r="F74" s="24"/>
    </row>
    <row r="75" customFormat="false" ht="15" hidden="false" customHeight="true" outlineLevel="0" collapsed="false">
      <c r="A75" s="24"/>
      <c r="B75" s="24"/>
      <c r="C75" s="24"/>
      <c r="D75" s="24"/>
      <c r="E75" s="24"/>
      <c r="F75" s="24"/>
    </row>
    <row r="76" customFormat="false" ht="15" hidden="false" customHeight="true" outlineLevel="0" collapsed="false">
      <c r="A76" s="24"/>
      <c r="B76" s="24"/>
      <c r="C76" s="24"/>
      <c r="D76" s="24"/>
      <c r="E76" s="24"/>
      <c r="F76" s="24"/>
    </row>
    <row r="77" customFormat="false" ht="15" hidden="false" customHeight="true" outlineLevel="0" collapsed="false">
      <c r="A77" s="24"/>
      <c r="B77" s="24"/>
      <c r="C77" s="24"/>
      <c r="D77" s="24"/>
      <c r="E77" s="24"/>
      <c r="F77" s="24"/>
    </row>
    <row r="78" customFormat="false" ht="15" hidden="false" customHeight="true" outlineLevel="0" collapsed="false">
      <c r="A78" s="24"/>
      <c r="B78" s="24"/>
      <c r="C78" s="24"/>
      <c r="D78" s="24"/>
      <c r="E78" s="24"/>
      <c r="F78" s="24"/>
    </row>
    <row r="79" customFormat="false" ht="15" hidden="false" customHeight="true" outlineLevel="0" collapsed="false">
      <c r="A79" s="24"/>
      <c r="B79" s="24"/>
      <c r="C79" s="24"/>
      <c r="D79" s="24"/>
      <c r="E79" s="24"/>
      <c r="F79" s="24"/>
    </row>
    <row r="80" customFormat="false" ht="15" hidden="false" customHeight="true" outlineLevel="0" collapsed="false">
      <c r="A80" s="24"/>
      <c r="B80" s="24"/>
      <c r="C80" s="24"/>
      <c r="D80" s="24"/>
      <c r="E80" s="24"/>
      <c r="F80" s="24"/>
    </row>
    <row r="81" customFormat="false" ht="15" hidden="false" customHeight="true" outlineLevel="0" collapsed="false">
      <c r="A81" s="24"/>
      <c r="B81" s="24"/>
      <c r="C81" s="24"/>
      <c r="D81" s="24"/>
      <c r="E81" s="24"/>
      <c r="F81" s="24"/>
    </row>
    <row r="82" customFormat="false" ht="15" hidden="false" customHeight="true" outlineLevel="0" collapsed="false">
      <c r="A82" s="24"/>
      <c r="B82" s="24"/>
      <c r="C82" s="24"/>
      <c r="D82" s="24"/>
      <c r="E82" s="24"/>
      <c r="F82" s="24"/>
    </row>
    <row r="83" customFormat="false" ht="15" hidden="false" customHeight="true" outlineLevel="0" collapsed="false">
      <c r="A83" s="24"/>
      <c r="B83" s="24"/>
      <c r="C83" s="24"/>
      <c r="D83" s="24"/>
      <c r="E83" s="24"/>
      <c r="F83" s="24"/>
    </row>
    <row r="84" customFormat="false" ht="15" hidden="false" customHeight="true" outlineLevel="0" collapsed="false">
      <c r="A84" s="24"/>
      <c r="B84" s="24"/>
      <c r="C84" s="24"/>
      <c r="D84" s="24"/>
      <c r="E84" s="24"/>
      <c r="F84" s="24"/>
    </row>
    <row r="85" customFormat="false" ht="15" hidden="false" customHeight="true" outlineLevel="0" collapsed="false">
      <c r="A85" s="24"/>
      <c r="B85" s="24"/>
      <c r="C85" s="24"/>
      <c r="D85" s="24"/>
      <c r="E85" s="24"/>
      <c r="F85" s="24"/>
    </row>
    <row r="86" customFormat="false" ht="15" hidden="false" customHeight="true" outlineLevel="0" collapsed="false">
      <c r="A86" s="24"/>
      <c r="B86" s="24"/>
      <c r="C86" s="24"/>
      <c r="D86" s="24"/>
      <c r="E86" s="24"/>
      <c r="F86" s="24"/>
    </row>
    <row r="87" customFormat="false" ht="15" hidden="false" customHeight="true" outlineLevel="0" collapsed="false">
      <c r="A87" s="24"/>
      <c r="B87" s="24"/>
      <c r="C87" s="24"/>
      <c r="D87" s="24"/>
      <c r="E87" s="24"/>
      <c r="F87" s="24"/>
    </row>
    <row r="88" customFormat="false" ht="15" hidden="false" customHeight="true" outlineLevel="0" collapsed="false">
      <c r="A88" s="24"/>
      <c r="B88" s="24"/>
      <c r="C88" s="24"/>
      <c r="D88" s="24"/>
      <c r="E88" s="24"/>
      <c r="F88" s="24"/>
    </row>
    <row r="89" customFormat="false" ht="15" hidden="false" customHeight="true" outlineLevel="0" collapsed="false">
      <c r="A89" s="24"/>
      <c r="B89" s="24"/>
      <c r="C89" s="24"/>
      <c r="D89" s="24"/>
      <c r="E89" s="24"/>
      <c r="F89" s="24"/>
    </row>
    <row r="90" customFormat="false" ht="15" hidden="false" customHeight="true" outlineLevel="0" collapsed="false">
      <c r="A90" s="24"/>
      <c r="B90" s="24"/>
      <c r="C90" s="24"/>
      <c r="D90" s="24"/>
      <c r="E90" s="24"/>
      <c r="F90" s="24"/>
    </row>
    <row r="91" customFormat="false" ht="15" hidden="false" customHeight="true" outlineLevel="0" collapsed="false">
      <c r="A91" s="24"/>
      <c r="B91" s="24"/>
      <c r="C91" s="24"/>
      <c r="D91" s="24"/>
      <c r="E91" s="24"/>
      <c r="F91" s="24"/>
    </row>
    <row r="92" customFormat="false" ht="15" hidden="false" customHeight="true" outlineLevel="0" collapsed="false">
      <c r="A92" s="24"/>
      <c r="B92" s="24"/>
      <c r="C92" s="24"/>
      <c r="D92" s="24"/>
      <c r="E92" s="24"/>
      <c r="F92" s="24"/>
    </row>
    <row r="93" customFormat="false" ht="15" hidden="false" customHeight="true" outlineLevel="0" collapsed="false">
      <c r="A93" s="24"/>
      <c r="B93" s="24"/>
      <c r="C93" s="24"/>
      <c r="D93" s="24"/>
      <c r="E93" s="24"/>
      <c r="F93" s="24"/>
    </row>
    <row r="94" customFormat="false" ht="15" hidden="false" customHeight="true" outlineLevel="0" collapsed="false">
      <c r="A94" s="24"/>
      <c r="B94" s="24"/>
      <c r="C94" s="24"/>
      <c r="D94" s="24"/>
      <c r="E94" s="24"/>
      <c r="F94" s="24"/>
    </row>
    <row r="95" customFormat="false" ht="15" hidden="false" customHeight="true" outlineLevel="0" collapsed="false">
      <c r="A95" s="24"/>
      <c r="B95" s="24"/>
      <c r="C95" s="24"/>
      <c r="D95" s="24"/>
      <c r="E95" s="24"/>
      <c r="F95" s="24"/>
    </row>
    <row r="96" customFormat="false" ht="15" hidden="false" customHeight="true" outlineLevel="0" collapsed="false">
      <c r="A96" s="24"/>
      <c r="B96" s="24"/>
      <c r="C96" s="24"/>
      <c r="D96" s="24"/>
      <c r="E96" s="24"/>
      <c r="F96" s="24"/>
    </row>
    <row r="97" customFormat="false" ht="15" hidden="false" customHeight="true" outlineLevel="0" collapsed="false">
      <c r="A97" s="24"/>
      <c r="B97" s="24"/>
      <c r="C97" s="24"/>
      <c r="D97" s="24"/>
      <c r="E97" s="24"/>
      <c r="F97" s="24"/>
    </row>
    <row r="98" customFormat="false" ht="15" hidden="false" customHeight="true" outlineLevel="0" collapsed="false">
      <c r="A98" s="24"/>
      <c r="B98" s="24"/>
      <c r="C98" s="24"/>
      <c r="D98" s="24"/>
      <c r="E98" s="24"/>
      <c r="F98" s="24"/>
    </row>
    <row r="99" customFormat="false" ht="15" hidden="false" customHeight="true" outlineLevel="0" collapsed="false">
      <c r="A99" s="24"/>
      <c r="B99" s="24"/>
      <c r="C99" s="24"/>
      <c r="D99" s="24"/>
      <c r="E99" s="24"/>
      <c r="F99" s="24"/>
    </row>
    <row r="100" customFormat="false" ht="15" hidden="false" customHeight="true" outlineLevel="0" collapsed="false">
      <c r="A100" s="24"/>
      <c r="B100" s="24"/>
      <c r="C100" s="24"/>
      <c r="D100" s="24"/>
      <c r="E100" s="24"/>
      <c r="F100" s="24"/>
    </row>
    <row r="101" customFormat="false" ht="15" hidden="false" customHeight="true" outlineLevel="0" collapsed="false">
      <c r="A101" s="24"/>
      <c r="B101" s="24"/>
      <c r="C101" s="24"/>
      <c r="D101" s="24"/>
      <c r="E101" s="24"/>
      <c r="F101" s="24"/>
    </row>
    <row r="102" customFormat="false" ht="15" hidden="false" customHeight="true" outlineLevel="0" collapsed="false">
      <c r="A102" s="24"/>
      <c r="B102" s="24"/>
      <c r="C102" s="24"/>
      <c r="D102" s="24"/>
      <c r="E102" s="24"/>
      <c r="F102" s="24"/>
    </row>
    <row r="103" customFormat="false" ht="15" hidden="false" customHeight="true" outlineLevel="0" collapsed="false">
      <c r="A103" s="24"/>
      <c r="B103" s="24"/>
      <c r="C103" s="24"/>
      <c r="D103" s="24"/>
      <c r="E103" s="24"/>
      <c r="F103" s="24"/>
    </row>
    <row r="104" customFormat="false" ht="15" hidden="false" customHeight="true" outlineLevel="0" collapsed="false">
      <c r="A104" s="24"/>
      <c r="B104" s="24"/>
      <c r="C104" s="24"/>
      <c r="D104" s="24"/>
      <c r="E104" s="24"/>
      <c r="F104" s="24"/>
    </row>
    <row r="105" customFormat="false" ht="15" hidden="false" customHeight="true" outlineLevel="0" collapsed="false">
      <c r="A105" s="24"/>
      <c r="B105" s="24"/>
      <c r="C105" s="24"/>
      <c r="D105" s="24"/>
      <c r="E105" s="24"/>
      <c r="F105" s="24"/>
    </row>
    <row r="106" customFormat="false" ht="15" hidden="false" customHeight="true" outlineLevel="0" collapsed="false">
      <c r="A106" s="24"/>
      <c r="B106" s="24"/>
      <c r="C106" s="24"/>
      <c r="D106" s="24"/>
      <c r="E106" s="24"/>
      <c r="F106" s="24"/>
    </row>
    <row r="107" customFormat="false" ht="15" hidden="false" customHeight="true" outlineLevel="0" collapsed="false">
      <c r="A107" s="24"/>
      <c r="B107" s="24"/>
      <c r="C107" s="24"/>
      <c r="D107" s="24"/>
      <c r="E107" s="24"/>
      <c r="F107" s="24"/>
    </row>
    <row r="108" customFormat="false" ht="15" hidden="false" customHeight="true" outlineLevel="0" collapsed="false">
      <c r="A108" s="24"/>
      <c r="B108" s="24"/>
      <c r="C108" s="24"/>
      <c r="D108" s="24"/>
      <c r="E108" s="24"/>
      <c r="F108" s="24"/>
    </row>
    <row r="109" customFormat="false" ht="15" hidden="false" customHeight="true" outlineLevel="0" collapsed="false">
      <c r="A109" s="24"/>
      <c r="B109" s="24"/>
      <c r="C109" s="24"/>
      <c r="D109" s="24"/>
      <c r="E109" s="24"/>
      <c r="F109" s="24"/>
    </row>
    <row r="110" customFormat="false" ht="15" hidden="false" customHeight="true" outlineLevel="0" collapsed="false">
      <c r="A110" s="24"/>
      <c r="B110" s="24"/>
      <c r="C110" s="24"/>
      <c r="D110" s="24"/>
      <c r="E110" s="24"/>
      <c r="F110" s="24"/>
    </row>
    <row r="111" customFormat="false" ht="15" hidden="false" customHeight="true" outlineLevel="0" collapsed="false">
      <c r="A111" s="24"/>
      <c r="B111" s="24"/>
      <c r="C111" s="24"/>
      <c r="D111" s="24"/>
      <c r="E111" s="24"/>
      <c r="F111" s="24"/>
    </row>
    <row r="112" customFormat="false" ht="15" hidden="false" customHeight="true" outlineLevel="0" collapsed="false">
      <c r="A112" s="24"/>
      <c r="B112" s="24"/>
      <c r="C112" s="24"/>
      <c r="D112" s="24"/>
      <c r="E112" s="24"/>
      <c r="F112" s="24"/>
    </row>
    <row r="113" customFormat="false" ht="15" hidden="false" customHeight="true" outlineLevel="0" collapsed="false">
      <c r="A113" s="24"/>
      <c r="B113" s="24"/>
      <c r="C113" s="24"/>
      <c r="D113" s="24"/>
      <c r="E113" s="24"/>
      <c r="F113" s="24"/>
    </row>
    <row r="114" customFormat="false" ht="15" hidden="false" customHeight="true" outlineLevel="0" collapsed="false">
      <c r="A114" s="24"/>
      <c r="B114" s="24"/>
      <c r="C114" s="24"/>
      <c r="D114" s="24"/>
      <c r="E114" s="24"/>
      <c r="F114" s="24"/>
    </row>
    <row r="115" customFormat="false" ht="15" hidden="false" customHeight="true" outlineLevel="0" collapsed="false">
      <c r="A115" s="24"/>
      <c r="B115" s="24"/>
      <c r="C115" s="24"/>
      <c r="D115" s="24"/>
      <c r="E115" s="24"/>
      <c r="F115" s="24"/>
    </row>
    <row r="116" customFormat="false" ht="15" hidden="false" customHeight="true" outlineLevel="0" collapsed="false">
      <c r="A116" s="24"/>
      <c r="B116" s="24"/>
      <c r="C116" s="24"/>
      <c r="D116" s="24"/>
      <c r="E116" s="24"/>
      <c r="F116" s="24"/>
    </row>
    <row r="117" customFormat="false" ht="15" hidden="false" customHeight="true" outlineLevel="0" collapsed="false">
      <c r="A117" s="24"/>
      <c r="B117" s="24"/>
      <c r="C117" s="24"/>
      <c r="D117" s="24"/>
      <c r="E117" s="24"/>
      <c r="F117" s="24"/>
    </row>
    <row r="118" customFormat="false" ht="15" hidden="false" customHeight="true" outlineLevel="0" collapsed="false">
      <c r="A118" s="24"/>
      <c r="B118" s="24"/>
      <c r="C118" s="24"/>
      <c r="D118" s="24"/>
      <c r="E118" s="24"/>
      <c r="F118" s="24"/>
    </row>
    <row r="119" customFormat="false" ht="15" hidden="false" customHeight="true" outlineLevel="0" collapsed="false">
      <c r="A119" s="24"/>
      <c r="B119" s="24"/>
      <c r="C119" s="24"/>
      <c r="D119" s="24"/>
      <c r="E119" s="24"/>
      <c r="F119" s="24"/>
    </row>
    <row r="120" customFormat="false" ht="15" hidden="false" customHeight="true" outlineLevel="0" collapsed="false">
      <c r="A120" s="24"/>
      <c r="B120" s="24"/>
      <c r="C120" s="24"/>
      <c r="D120" s="24"/>
      <c r="E120" s="24"/>
      <c r="F120" s="24"/>
    </row>
    <row r="121" customFormat="false" ht="15" hidden="false" customHeight="true" outlineLevel="0" collapsed="false">
      <c r="A121" s="24"/>
      <c r="B121" s="24"/>
      <c r="C121" s="24"/>
      <c r="D121" s="24"/>
      <c r="E121" s="24"/>
      <c r="F121" s="24"/>
    </row>
    <row r="122" customFormat="false" ht="15" hidden="false" customHeight="true" outlineLevel="0" collapsed="false">
      <c r="A122" s="24"/>
      <c r="B122" s="24"/>
      <c r="C122" s="24"/>
      <c r="D122" s="24"/>
      <c r="E122" s="24"/>
      <c r="F122" s="24"/>
    </row>
    <row r="123" customFormat="false" ht="15" hidden="false" customHeight="true" outlineLevel="0" collapsed="false">
      <c r="A123" s="24"/>
      <c r="B123" s="24"/>
      <c r="C123" s="24"/>
      <c r="D123" s="24"/>
      <c r="E123" s="24"/>
      <c r="F123" s="24"/>
    </row>
    <row r="124" customFormat="false" ht="15" hidden="false" customHeight="true" outlineLevel="0" collapsed="false">
      <c r="A124" s="24"/>
      <c r="B124" s="24"/>
      <c r="C124" s="24"/>
      <c r="D124" s="24"/>
      <c r="E124" s="24"/>
      <c r="F124" s="24"/>
    </row>
    <row r="125" customFormat="false" ht="15" hidden="false" customHeight="true" outlineLevel="0" collapsed="false">
      <c r="A125" s="24"/>
      <c r="B125" s="24"/>
      <c r="C125" s="24"/>
      <c r="D125" s="24"/>
      <c r="E125" s="24"/>
      <c r="F125" s="24"/>
    </row>
    <row r="126" customFormat="false" ht="15" hidden="false" customHeight="true" outlineLevel="0" collapsed="false">
      <c r="A126" s="24"/>
      <c r="B126" s="24"/>
      <c r="C126" s="24"/>
      <c r="D126" s="24"/>
      <c r="E126" s="24"/>
      <c r="F126" s="24"/>
    </row>
    <row r="127" customFormat="false" ht="15" hidden="false" customHeight="true" outlineLevel="0" collapsed="false">
      <c r="A127" s="24"/>
      <c r="B127" s="24"/>
      <c r="C127" s="24"/>
      <c r="D127" s="24"/>
      <c r="E127" s="24"/>
      <c r="F127" s="24"/>
    </row>
    <row r="128" customFormat="false" ht="15" hidden="false" customHeight="true" outlineLevel="0" collapsed="false">
      <c r="A128" s="24"/>
      <c r="B128" s="24"/>
      <c r="C128" s="24"/>
      <c r="D128" s="24"/>
      <c r="E128" s="24"/>
      <c r="F128" s="24"/>
    </row>
    <row r="129" customFormat="false" ht="15" hidden="false" customHeight="true" outlineLevel="0" collapsed="false">
      <c r="A129" s="24"/>
      <c r="B129" s="24"/>
      <c r="C129" s="24"/>
      <c r="D129" s="24"/>
      <c r="E129" s="24"/>
      <c r="F129" s="24"/>
    </row>
    <row r="130" customFormat="false" ht="15" hidden="false" customHeight="true" outlineLevel="0" collapsed="false">
      <c r="A130" s="24"/>
      <c r="B130" s="24"/>
      <c r="C130" s="24"/>
      <c r="D130" s="24"/>
      <c r="E130" s="24"/>
      <c r="F130" s="24"/>
    </row>
    <row r="131" customFormat="false" ht="15" hidden="false" customHeight="true" outlineLevel="0" collapsed="false">
      <c r="A131" s="24"/>
      <c r="B131" s="24"/>
      <c r="C131" s="24"/>
      <c r="D131" s="24"/>
      <c r="E131" s="24"/>
      <c r="F131" s="24"/>
    </row>
    <row r="132" customFormat="false" ht="15" hidden="false" customHeight="true" outlineLevel="0" collapsed="false">
      <c r="A132" s="24"/>
      <c r="B132" s="24"/>
      <c r="C132" s="24"/>
      <c r="D132" s="24"/>
      <c r="E132" s="24"/>
      <c r="F132" s="24"/>
    </row>
    <row r="133" customFormat="false" ht="15" hidden="false" customHeight="true" outlineLevel="0" collapsed="false">
      <c r="A133" s="24"/>
      <c r="B133" s="24"/>
      <c r="C133" s="24"/>
      <c r="D133" s="24"/>
      <c r="E133" s="24"/>
      <c r="F133" s="24"/>
    </row>
    <row r="134" customFormat="false" ht="15" hidden="false" customHeight="true" outlineLevel="0" collapsed="false">
      <c r="A134" s="24"/>
      <c r="B134" s="24"/>
      <c r="C134" s="24"/>
      <c r="D134" s="24"/>
      <c r="E134" s="24"/>
      <c r="F134" s="24"/>
    </row>
    <row r="135" customFormat="false" ht="15" hidden="false" customHeight="true" outlineLevel="0" collapsed="false">
      <c r="A135" s="24"/>
      <c r="B135" s="24"/>
      <c r="C135" s="24"/>
      <c r="D135" s="24"/>
      <c r="E135" s="24"/>
      <c r="F135" s="24"/>
    </row>
    <row r="136" customFormat="false" ht="15" hidden="false" customHeight="true" outlineLevel="0" collapsed="false">
      <c r="A136" s="24"/>
      <c r="B136" s="24"/>
      <c r="C136" s="24"/>
      <c r="D136" s="24"/>
      <c r="E136" s="24"/>
      <c r="F136" s="24"/>
    </row>
    <row r="137" customFormat="false" ht="15" hidden="false" customHeight="true" outlineLevel="0" collapsed="false">
      <c r="A137" s="24"/>
      <c r="B137" s="24"/>
      <c r="C137" s="24"/>
      <c r="D137" s="24"/>
      <c r="E137" s="24"/>
      <c r="F137" s="24"/>
    </row>
    <row r="138" customFormat="false" ht="15" hidden="false" customHeight="true" outlineLevel="0" collapsed="false">
      <c r="A138" s="24"/>
      <c r="B138" s="24"/>
      <c r="C138" s="24"/>
      <c r="D138" s="24"/>
      <c r="E138" s="24"/>
      <c r="F138" s="24"/>
    </row>
    <row r="139" customFormat="false" ht="15" hidden="false" customHeight="true" outlineLevel="0" collapsed="false">
      <c r="A139" s="24"/>
      <c r="B139" s="24"/>
      <c r="C139" s="24"/>
      <c r="D139" s="24"/>
      <c r="E139" s="24"/>
      <c r="F139" s="24"/>
    </row>
    <row r="140" customFormat="false" ht="15" hidden="false" customHeight="true" outlineLevel="0" collapsed="false">
      <c r="A140" s="24"/>
      <c r="B140" s="24"/>
      <c r="C140" s="24"/>
      <c r="D140" s="24"/>
      <c r="E140" s="24"/>
      <c r="F140" s="24"/>
    </row>
    <row r="141" customFormat="false" ht="15" hidden="false" customHeight="true" outlineLevel="0" collapsed="false">
      <c r="A141" s="24"/>
      <c r="B141" s="24"/>
      <c r="C141" s="24"/>
      <c r="D141" s="24"/>
      <c r="E141" s="24"/>
      <c r="F141" s="24"/>
    </row>
    <row r="142" customFormat="false" ht="15" hidden="false" customHeight="true" outlineLevel="0" collapsed="false">
      <c r="A142" s="24"/>
      <c r="B142" s="24"/>
      <c r="C142" s="24"/>
      <c r="D142" s="24"/>
      <c r="E142" s="24"/>
      <c r="F142" s="24"/>
    </row>
    <row r="143" customFormat="false" ht="15" hidden="false" customHeight="true" outlineLevel="0" collapsed="false">
      <c r="A143" s="24"/>
      <c r="B143" s="24"/>
      <c r="C143" s="24"/>
      <c r="D143" s="24"/>
      <c r="E143" s="24"/>
      <c r="F143" s="24"/>
    </row>
    <row r="144" customFormat="false" ht="15" hidden="false" customHeight="true" outlineLevel="0" collapsed="false">
      <c r="A144" s="24"/>
      <c r="B144" s="24"/>
      <c r="C144" s="24"/>
      <c r="D144" s="24"/>
      <c r="E144" s="24"/>
      <c r="F144" s="24"/>
    </row>
    <row r="145" customFormat="false" ht="15" hidden="false" customHeight="true" outlineLevel="0" collapsed="false">
      <c r="A145" s="24"/>
      <c r="B145" s="24"/>
      <c r="C145" s="24"/>
      <c r="D145" s="24"/>
      <c r="E145" s="24"/>
      <c r="F145" s="24"/>
    </row>
    <row r="146" customFormat="false" ht="15" hidden="false" customHeight="true" outlineLevel="0" collapsed="false">
      <c r="A146" s="24"/>
      <c r="B146" s="24"/>
      <c r="C146" s="24"/>
      <c r="D146" s="24"/>
      <c r="E146" s="24"/>
      <c r="F146" s="24"/>
    </row>
    <row r="147" customFormat="false" ht="15" hidden="false" customHeight="true" outlineLevel="0" collapsed="false">
      <c r="A147" s="24"/>
      <c r="B147" s="24"/>
      <c r="C147" s="24"/>
      <c r="D147" s="24"/>
      <c r="E147" s="24"/>
      <c r="F147" s="24"/>
    </row>
    <row r="148" customFormat="false" ht="15" hidden="false" customHeight="true" outlineLevel="0" collapsed="false">
      <c r="A148" s="24"/>
      <c r="B148" s="24"/>
      <c r="C148" s="24"/>
      <c r="D148" s="24"/>
      <c r="E148" s="24"/>
      <c r="F148" s="24"/>
    </row>
    <row r="149" customFormat="false" ht="15" hidden="false" customHeight="true" outlineLevel="0" collapsed="false">
      <c r="A149" s="24"/>
      <c r="B149" s="24"/>
      <c r="C149" s="24"/>
      <c r="D149" s="24"/>
      <c r="E149" s="24"/>
      <c r="F149" s="24"/>
    </row>
    <row r="150" customFormat="false" ht="15" hidden="false" customHeight="true" outlineLevel="0" collapsed="false">
      <c r="A150" s="24"/>
      <c r="B150" s="24"/>
      <c r="C150" s="24"/>
      <c r="D150" s="24"/>
      <c r="E150" s="24"/>
      <c r="F150" s="24"/>
    </row>
    <row r="151" customFormat="false" ht="15" hidden="false" customHeight="true" outlineLevel="0" collapsed="false">
      <c r="A151" s="24"/>
      <c r="B151" s="24"/>
      <c r="C151" s="24"/>
      <c r="D151" s="24"/>
      <c r="E151" s="24"/>
      <c r="F151" s="24"/>
    </row>
    <row r="152" customFormat="false" ht="15" hidden="false" customHeight="true" outlineLevel="0" collapsed="false">
      <c r="A152" s="24"/>
      <c r="B152" s="24"/>
      <c r="C152" s="24"/>
      <c r="D152" s="24"/>
      <c r="E152" s="24"/>
      <c r="F152" s="24"/>
    </row>
    <row r="153" customFormat="false" ht="15" hidden="false" customHeight="true" outlineLevel="0" collapsed="false">
      <c r="A153" s="24"/>
      <c r="B153" s="24"/>
      <c r="C153" s="24"/>
      <c r="D153" s="24"/>
      <c r="E153" s="24"/>
      <c r="F153" s="24"/>
    </row>
    <row r="154" customFormat="false" ht="15" hidden="false" customHeight="true" outlineLevel="0" collapsed="false">
      <c r="A154" s="24"/>
      <c r="B154" s="24"/>
      <c r="C154" s="24"/>
      <c r="D154" s="24"/>
      <c r="E154" s="24"/>
      <c r="F154" s="24"/>
    </row>
    <row r="155" customFormat="false" ht="15" hidden="false" customHeight="true" outlineLevel="0" collapsed="false">
      <c r="A155" s="24"/>
      <c r="B155" s="24"/>
      <c r="C155" s="24"/>
      <c r="D155" s="24"/>
      <c r="E155" s="24"/>
      <c r="F155" s="24"/>
    </row>
    <row r="156" customFormat="false" ht="15" hidden="false" customHeight="true" outlineLevel="0" collapsed="false">
      <c r="A156" s="24"/>
      <c r="B156" s="24"/>
      <c r="C156" s="24"/>
      <c r="D156" s="24"/>
      <c r="E156" s="24"/>
      <c r="F156" s="24"/>
    </row>
    <row r="157" customFormat="false" ht="15" hidden="false" customHeight="true" outlineLevel="0" collapsed="false">
      <c r="A157" s="24"/>
      <c r="B157" s="24"/>
      <c r="C157" s="24"/>
      <c r="D157" s="24"/>
      <c r="E157" s="24"/>
      <c r="F157" s="24"/>
    </row>
    <row r="158" customFormat="false" ht="15" hidden="false" customHeight="true" outlineLevel="0" collapsed="false">
      <c r="A158" s="24"/>
      <c r="B158" s="24"/>
      <c r="C158" s="24"/>
      <c r="D158" s="24"/>
      <c r="E158" s="24"/>
      <c r="F158" s="24"/>
    </row>
    <row r="159" customFormat="false" ht="15" hidden="false" customHeight="true" outlineLevel="0" collapsed="false">
      <c r="A159" s="24"/>
      <c r="B159" s="24"/>
      <c r="C159" s="24"/>
      <c r="D159" s="24"/>
      <c r="E159" s="24"/>
      <c r="F159" s="24"/>
    </row>
    <row r="160" customFormat="false" ht="15" hidden="false" customHeight="true" outlineLevel="0" collapsed="false">
      <c r="A160" s="24"/>
      <c r="B160" s="24"/>
      <c r="C160" s="24"/>
      <c r="D160" s="24"/>
      <c r="E160" s="24"/>
      <c r="F160" s="24"/>
    </row>
    <row r="161" customFormat="false" ht="15" hidden="false" customHeight="true" outlineLevel="0" collapsed="false">
      <c r="A161" s="24"/>
      <c r="B161" s="24"/>
      <c r="C161" s="24"/>
      <c r="D161" s="24"/>
      <c r="E161" s="24"/>
      <c r="F161" s="24"/>
    </row>
    <row r="162" customFormat="false" ht="15" hidden="false" customHeight="true" outlineLevel="0" collapsed="false">
      <c r="A162" s="24"/>
      <c r="B162" s="24"/>
      <c r="C162" s="24"/>
      <c r="D162" s="24"/>
      <c r="E162" s="24"/>
      <c r="F162" s="24"/>
    </row>
    <row r="163" customFormat="false" ht="15" hidden="false" customHeight="true" outlineLevel="0" collapsed="false">
      <c r="A163" s="24"/>
      <c r="B163" s="24"/>
      <c r="C163" s="24"/>
      <c r="D163" s="24"/>
      <c r="E163" s="24"/>
      <c r="F163" s="24"/>
    </row>
    <row r="164" customFormat="false" ht="15" hidden="false" customHeight="true" outlineLevel="0" collapsed="false">
      <c r="A164" s="24"/>
      <c r="B164" s="24"/>
      <c r="C164" s="24"/>
      <c r="D164" s="24"/>
      <c r="E164" s="24"/>
      <c r="F164" s="24"/>
    </row>
    <row r="165" customFormat="false" ht="15" hidden="false" customHeight="true" outlineLevel="0" collapsed="false">
      <c r="A165" s="24"/>
      <c r="B165" s="24"/>
      <c r="C165" s="24"/>
      <c r="D165" s="24"/>
      <c r="E165" s="24"/>
      <c r="F165" s="24"/>
    </row>
    <row r="166" customFormat="false" ht="15" hidden="false" customHeight="true" outlineLevel="0" collapsed="false">
      <c r="A166" s="24"/>
      <c r="B166" s="24"/>
      <c r="C166" s="24"/>
      <c r="D166" s="24"/>
      <c r="E166" s="24"/>
      <c r="F166" s="24"/>
    </row>
    <row r="167" customFormat="false" ht="15" hidden="false" customHeight="true" outlineLevel="0" collapsed="false">
      <c r="A167" s="24"/>
      <c r="B167" s="24"/>
      <c r="C167" s="24"/>
      <c r="D167" s="24"/>
      <c r="E167" s="24"/>
      <c r="F167" s="24"/>
    </row>
    <row r="168" customFormat="false" ht="15" hidden="false" customHeight="true" outlineLevel="0" collapsed="false">
      <c r="A168" s="24"/>
      <c r="B168" s="24"/>
      <c r="C168" s="24"/>
      <c r="D168" s="24"/>
      <c r="E168" s="24"/>
      <c r="F168" s="24"/>
    </row>
    <row r="169" customFormat="false" ht="15" hidden="false" customHeight="true" outlineLevel="0" collapsed="false">
      <c r="A169" s="24"/>
      <c r="B169" s="24"/>
      <c r="C169" s="24"/>
      <c r="D169" s="24"/>
      <c r="E169" s="24"/>
      <c r="F169" s="24"/>
    </row>
    <row r="170" customFormat="false" ht="15" hidden="false" customHeight="true" outlineLevel="0" collapsed="false">
      <c r="A170" s="24"/>
      <c r="B170" s="24"/>
      <c r="C170" s="24"/>
      <c r="D170" s="24"/>
      <c r="E170" s="24"/>
      <c r="F170" s="24"/>
    </row>
    <row r="171" customFormat="false" ht="15" hidden="false" customHeight="true" outlineLevel="0" collapsed="false">
      <c r="A171" s="24"/>
      <c r="B171" s="24"/>
      <c r="C171" s="24"/>
      <c r="D171" s="24"/>
      <c r="E171" s="24"/>
      <c r="F171" s="24"/>
    </row>
    <row r="172" customFormat="false" ht="15" hidden="false" customHeight="true" outlineLevel="0" collapsed="false">
      <c r="A172" s="24"/>
      <c r="B172" s="24"/>
      <c r="C172" s="24"/>
      <c r="D172" s="24"/>
      <c r="E172" s="24"/>
      <c r="F172" s="24"/>
    </row>
    <row r="173" customFormat="false" ht="15" hidden="false" customHeight="true" outlineLevel="0" collapsed="false">
      <c r="A173" s="24"/>
      <c r="B173" s="24"/>
      <c r="C173" s="24"/>
      <c r="D173" s="24"/>
      <c r="E173" s="24"/>
      <c r="F173" s="24"/>
    </row>
    <row r="174" customFormat="false" ht="15" hidden="false" customHeight="true" outlineLevel="0" collapsed="false">
      <c r="A174" s="24"/>
      <c r="B174" s="24"/>
      <c r="C174" s="24"/>
      <c r="D174" s="24"/>
      <c r="E174" s="24"/>
      <c r="F174" s="24"/>
    </row>
    <row r="175" customFormat="false" ht="15" hidden="false" customHeight="true" outlineLevel="0" collapsed="false">
      <c r="A175" s="24"/>
      <c r="B175" s="24"/>
      <c r="C175" s="24"/>
      <c r="D175" s="24"/>
      <c r="E175" s="24"/>
      <c r="F175" s="24"/>
    </row>
    <row r="176" customFormat="false" ht="15" hidden="false" customHeight="true" outlineLevel="0" collapsed="false">
      <c r="A176" s="24"/>
      <c r="B176" s="24"/>
      <c r="C176" s="24"/>
      <c r="D176" s="24"/>
      <c r="E176" s="24"/>
      <c r="F176" s="24"/>
    </row>
    <row r="177" customFormat="false" ht="15" hidden="false" customHeight="true" outlineLevel="0" collapsed="false">
      <c r="A177" s="24"/>
      <c r="B177" s="24"/>
      <c r="C177" s="24"/>
      <c r="D177" s="24"/>
      <c r="E177" s="24"/>
      <c r="F177" s="24"/>
    </row>
    <row r="178" customFormat="false" ht="15" hidden="false" customHeight="true" outlineLevel="0" collapsed="false">
      <c r="A178" s="24"/>
      <c r="B178" s="24"/>
      <c r="C178" s="24"/>
      <c r="D178" s="24"/>
      <c r="E178" s="24"/>
      <c r="F178" s="24"/>
    </row>
    <row r="179" customFormat="false" ht="15" hidden="false" customHeight="true" outlineLevel="0" collapsed="false">
      <c r="A179" s="24"/>
      <c r="B179" s="24"/>
      <c r="C179" s="24"/>
      <c r="D179" s="24"/>
      <c r="E179" s="24"/>
      <c r="F179" s="24"/>
    </row>
    <row r="180" customFormat="false" ht="15" hidden="false" customHeight="true" outlineLevel="0" collapsed="false">
      <c r="A180" s="24"/>
      <c r="B180" s="24"/>
      <c r="C180" s="24"/>
      <c r="D180" s="24"/>
      <c r="E180" s="24"/>
      <c r="F180" s="24"/>
    </row>
    <row r="181" customFormat="false" ht="15" hidden="false" customHeight="true" outlineLevel="0" collapsed="false">
      <c r="A181" s="24"/>
      <c r="B181" s="24"/>
      <c r="C181" s="24"/>
      <c r="D181" s="24"/>
      <c r="E181" s="24"/>
      <c r="F181" s="24"/>
    </row>
    <row r="182" customFormat="false" ht="15" hidden="false" customHeight="true" outlineLevel="0" collapsed="false">
      <c r="A182" s="24"/>
      <c r="B182" s="24"/>
      <c r="C182" s="24"/>
      <c r="D182" s="24"/>
      <c r="E182" s="24"/>
      <c r="F182" s="24"/>
    </row>
    <row r="183" customFormat="false" ht="15" hidden="false" customHeight="true" outlineLevel="0" collapsed="false">
      <c r="A183" s="24"/>
      <c r="B183" s="24"/>
      <c r="C183" s="24"/>
      <c r="D183" s="24"/>
      <c r="E183" s="24"/>
      <c r="F183" s="24"/>
    </row>
    <row r="184" customFormat="false" ht="15" hidden="false" customHeight="true" outlineLevel="0" collapsed="false">
      <c r="A184" s="24"/>
      <c r="B184" s="24"/>
      <c r="C184" s="24"/>
      <c r="D184" s="24"/>
      <c r="E184" s="24"/>
      <c r="F184" s="24"/>
    </row>
    <row r="185" customFormat="false" ht="15" hidden="false" customHeight="true" outlineLevel="0" collapsed="false">
      <c r="A185" s="24"/>
      <c r="B185" s="24"/>
      <c r="C185" s="24"/>
      <c r="D185" s="24"/>
      <c r="E185" s="24"/>
      <c r="F185" s="24"/>
    </row>
    <row r="186" customFormat="false" ht="15" hidden="false" customHeight="true" outlineLevel="0" collapsed="false">
      <c r="A186" s="24"/>
      <c r="B186" s="24"/>
      <c r="C186" s="24"/>
      <c r="D186" s="24"/>
      <c r="E186" s="24"/>
      <c r="F186" s="24"/>
    </row>
    <row r="187" customFormat="false" ht="15" hidden="false" customHeight="true" outlineLevel="0" collapsed="false">
      <c r="A187" s="24"/>
      <c r="B187" s="24"/>
      <c r="C187" s="24"/>
      <c r="D187" s="24"/>
      <c r="E187" s="24"/>
      <c r="F187" s="24"/>
    </row>
    <row r="188" customFormat="false" ht="15" hidden="false" customHeight="true" outlineLevel="0" collapsed="false">
      <c r="A188" s="24"/>
      <c r="B188" s="24"/>
      <c r="C188" s="24"/>
      <c r="D188" s="24"/>
      <c r="E188" s="24"/>
      <c r="F188" s="24"/>
    </row>
    <row r="189" customFormat="false" ht="15" hidden="false" customHeight="true" outlineLevel="0" collapsed="false">
      <c r="A189" s="24"/>
      <c r="B189" s="24"/>
      <c r="C189" s="24"/>
      <c r="D189" s="24"/>
      <c r="E189" s="24"/>
      <c r="F189" s="24"/>
    </row>
    <row r="190" customFormat="false" ht="15" hidden="false" customHeight="true" outlineLevel="0" collapsed="false">
      <c r="A190" s="24"/>
      <c r="B190" s="24"/>
      <c r="C190" s="24"/>
      <c r="D190" s="24"/>
      <c r="E190" s="24"/>
      <c r="F190" s="24"/>
    </row>
    <row r="191" customFormat="false" ht="15" hidden="false" customHeight="true" outlineLevel="0" collapsed="false">
      <c r="A191" s="24"/>
      <c r="B191" s="24"/>
      <c r="C191" s="24"/>
      <c r="D191" s="24"/>
      <c r="E191" s="24"/>
      <c r="F191" s="24"/>
    </row>
    <row r="192" customFormat="false" ht="15" hidden="false" customHeight="true" outlineLevel="0" collapsed="false">
      <c r="A192" s="24"/>
      <c r="B192" s="24"/>
      <c r="C192" s="24"/>
      <c r="D192" s="24"/>
      <c r="E192" s="24"/>
      <c r="F192" s="24"/>
    </row>
    <row r="193" customFormat="false" ht="15" hidden="false" customHeight="true" outlineLevel="0" collapsed="false">
      <c r="A193" s="24"/>
      <c r="B193" s="24"/>
      <c r="C193" s="24"/>
      <c r="D193" s="24"/>
      <c r="E193" s="24"/>
      <c r="F193" s="24"/>
    </row>
    <row r="194" customFormat="false" ht="15" hidden="false" customHeight="true" outlineLevel="0" collapsed="false">
      <c r="A194" s="24"/>
      <c r="B194" s="24"/>
      <c r="C194" s="24"/>
      <c r="D194" s="24"/>
      <c r="E194" s="24"/>
      <c r="F194" s="24"/>
    </row>
    <row r="195" customFormat="false" ht="15" hidden="false" customHeight="true" outlineLevel="0" collapsed="false">
      <c r="A195" s="24"/>
      <c r="B195" s="24"/>
      <c r="C195" s="24"/>
      <c r="D195" s="24"/>
      <c r="E195" s="24"/>
      <c r="F195" s="24"/>
    </row>
    <row r="196" customFormat="false" ht="15" hidden="false" customHeight="true" outlineLevel="0" collapsed="false">
      <c r="A196" s="24"/>
      <c r="B196" s="24"/>
      <c r="C196" s="24"/>
      <c r="D196" s="24"/>
      <c r="E196" s="24"/>
      <c r="F196" s="24"/>
    </row>
    <row r="197" customFormat="false" ht="15" hidden="false" customHeight="true" outlineLevel="0" collapsed="false">
      <c r="A197" s="24"/>
      <c r="B197" s="24"/>
      <c r="C197" s="24"/>
      <c r="D197" s="24"/>
      <c r="E197" s="24"/>
      <c r="F197" s="24"/>
    </row>
    <row r="198" customFormat="false" ht="15" hidden="false" customHeight="true" outlineLevel="0" collapsed="false">
      <c r="A198" s="24"/>
      <c r="B198" s="24"/>
      <c r="C198" s="24"/>
      <c r="D198" s="24"/>
      <c r="E198" s="24"/>
      <c r="F198" s="24"/>
    </row>
    <row r="199" customFormat="false" ht="15" hidden="false" customHeight="true" outlineLevel="0" collapsed="false">
      <c r="A199" s="24"/>
      <c r="B199" s="24"/>
      <c r="C199" s="24"/>
      <c r="D199" s="24"/>
      <c r="E199" s="24"/>
      <c r="F199" s="24"/>
    </row>
    <row r="200" customFormat="false" ht="15" hidden="false" customHeight="true" outlineLevel="0" collapsed="false">
      <c r="A200" s="24"/>
      <c r="B200" s="24"/>
      <c r="C200" s="24"/>
      <c r="D200" s="24"/>
      <c r="E200" s="24"/>
      <c r="F200" s="2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2026-07-07T06:48:28Z</dcterms:created>
  <dc:creator>openpyxl</dc:creator>
  <dc:description/>
  <dc:language>en-US</dc:language>
  <cp:lastModifiedBy/>
  <dcterms:modified xsi:type="dcterms:W3CDTF">2026-07-07T07:37:45Z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